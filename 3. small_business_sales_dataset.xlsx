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Ex11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2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3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4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15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16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17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18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19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0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.xml" ContentType="application/vnd.openxmlformats-officedocument.drawing+xml"/>
  <Override PartName="/xl/charts/chartEx2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2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2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2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2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2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27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28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29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3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1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1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1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1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.xml" ContentType="application/vnd.openxmlformats-officedocument.drawing+xml"/>
  <Override PartName="/xl/charts/chartEx31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32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33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34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35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36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37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38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39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40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72A132D-C6C0-447D-84B6-CEDD6D7895A8}" xr6:coauthVersionLast="47" xr6:coauthVersionMax="47" xr10:uidLastSave="{00000000-0000-0000-0000-000000000000}"/>
  <bookViews>
    <workbookView xWindow="-120" yWindow="-120" windowWidth="20730" windowHeight="11160" firstSheet="3" activeTab="3" xr2:uid="{9DD57267-2EC9-4385-86C3-6C818D7FAD07}"/>
  </bookViews>
  <sheets>
    <sheet name="Initial Dataset" sheetId="1" r:id="rId1"/>
    <sheet name="Whole Data" sheetId="3" r:id="rId2"/>
    <sheet name="Residential" sheetId="2" r:id="rId3"/>
    <sheet name="City Center" sheetId="5" r:id="rId4"/>
    <sheet name="Mall" sheetId="6" r:id="rId5"/>
    <sheet name="Rural" sheetId="8" r:id="rId6"/>
    <sheet name="Small Town" sheetId="9" r:id="rId7"/>
    <sheet name="Correlation &amp; Regression" sheetId="4" r:id="rId8"/>
    <sheet name="Potential Outlier" sheetId="7" r:id="rId9"/>
  </sheets>
  <definedNames>
    <definedName name="_xlchart.v1.0" hidden="1">'Whole Data'!$B$2:$B$79</definedName>
    <definedName name="_xlchart.v1.1" hidden="1">'Whole Data'!$C$2:$C$79</definedName>
    <definedName name="_xlchart.v1.10" hidden="1">Residential!$B$2</definedName>
    <definedName name="_xlchart.v1.11" hidden="1">Residential!$B$3:$B$22</definedName>
    <definedName name="_xlchart.v1.12" hidden="1">Residential!$C$2</definedName>
    <definedName name="_xlchart.v1.13" hidden="1">Residential!$C$3:$C$22</definedName>
    <definedName name="_xlchart.v1.14" hidden="1">Residential!$D$2</definedName>
    <definedName name="_xlchart.v1.15" hidden="1">Residential!$D$3:$D$22</definedName>
    <definedName name="_xlchart.v1.16" hidden="1">Residential!$E$2</definedName>
    <definedName name="_xlchart.v1.17" hidden="1">Residential!$E$3:$E$22</definedName>
    <definedName name="_xlchart.v1.18" hidden="1">Residential!$F$2</definedName>
    <definedName name="_xlchart.v1.19" hidden="1">Residential!$F$3:$F$22</definedName>
    <definedName name="_xlchart.v1.2" hidden="1">'Whole Data'!$D$2:$D$79</definedName>
    <definedName name="_xlchart.v1.20" hidden="1">Residential!$B$2</definedName>
    <definedName name="_xlchart.v1.21" hidden="1">Residential!$B$3:$B$22</definedName>
    <definedName name="_xlchart.v1.22" hidden="1">Residential!$C$2</definedName>
    <definedName name="_xlchart.v1.23" hidden="1">Residential!$C$3:$C$22</definedName>
    <definedName name="_xlchart.v1.24" hidden="1">Residential!$D$2</definedName>
    <definedName name="_xlchart.v1.25" hidden="1">Residential!$D$3:$D$22</definedName>
    <definedName name="_xlchart.v1.26" hidden="1">Residential!$E$2</definedName>
    <definedName name="_xlchart.v1.27" hidden="1">Residential!$E$3:$E$22</definedName>
    <definedName name="_xlchart.v1.28" hidden="1">Residential!$F$2</definedName>
    <definedName name="_xlchart.v1.29" hidden="1">Residential!$F$3:$F$22</definedName>
    <definedName name="_xlchart.v1.3" hidden="1">'Whole Data'!$E$27:$E$79</definedName>
    <definedName name="_xlchart.v1.30" hidden="1">'City Center'!$B$3:$B$22</definedName>
    <definedName name="_xlchart.v1.31" hidden="1">'City Center'!$C$3:$C$22</definedName>
    <definedName name="_xlchart.v1.32" hidden="1">'City Center'!$D$3:$D$22</definedName>
    <definedName name="_xlchart.v1.33" hidden="1">'City Center'!$E$3:$E$22</definedName>
    <definedName name="_xlchart.v1.34" hidden="1">'City Center'!$F$3:$F$22</definedName>
    <definedName name="_xlchart.v1.35" hidden="1">'City Center'!$B$3:$B$22</definedName>
    <definedName name="_xlchart.v1.36" hidden="1">'City Center'!$C$3:$C$22</definedName>
    <definedName name="_xlchart.v1.37" hidden="1">'City Center'!$D$3:$D$22</definedName>
    <definedName name="_xlchart.v1.38" hidden="1">'City Center'!$E$3:$E$22</definedName>
    <definedName name="_xlchart.v1.39" hidden="1">'City Center'!$F$3:$F$22</definedName>
    <definedName name="_xlchart.v1.4" hidden="1">'Whole Data'!$A$2:$A$79</definedName>
    <definedName name="_xlchart.v1.40" hidden="1">Mall!$B$3:$B$21</definedName>
    <definedName name="_xlchart.v1.41" hidden="1">Mall!$C$3:$C$21</definedName>
    <definedName name="_xlchart.v1.42" hidden="1">Mall!$D$3:$D$21</definedName>
    <definedName name="_xlchart.v1.43" hidden="1">Mall!$E$3:$E$21</definedName>
    <definedName name="_xlchart.v1.44" hidden="1">Mall!$F$3:$F$21</definedName>
    <definedName name="_xlchart.v1.45" hidden="1">Mall!$B$3:$B$21</definedName>
    <definedName name="_xlchart.v1.46" hidden="1">Mall!$C$3:$C$21</definedName>
    <definedName name="_xlchart.v1.47" hidden="1">Mall!$D$3:$D$21</definedName>
    <definedName name="_xlchart.v1.48" hidden="1">Mall!$E$3:$E$21</definedName>
    <definedName name="_xlchart.v1.49" hidden="1">Mall!$F$3:$F$21</definedName>
    <definedName name="_xlchart.v1.5" hidden="1">'Whole Data'!$A$2:$A$79</definedName>
    <definedName name="_xlchart.v1.6" hidden="1">'Whole Data'!$B$2:$B$79</definedName>
    <definedName name="_xlchart.v1.7" hidden="1">'Whole Data'!$C$2:$C$79</definedName>
    <definedName name="_xlchart.v1.8" hidden="1">'Whole Data'!$D$2:$D$79</definedName>
    <definedName name="_xlchart.v1.9" hidden="1">'Whole Data'!$E$2:$E$79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2" i="5" l="1" a="1"/>
  <c r="G182" i="5"/>
  <c r="G181" i="5" a="1"/>
  <c r="G181" i="5"/>
  <c r="G180" i="5" a="1"/>
  <c r="G180" i="5"/>
  <c r="G179" i="5" a="1"/>
  <c r="G179" i="5"/>
  <c r="G178" i="5" a="1"/>
  <c r="G178" i="5"/>
  <c r="F182" i="5"/>
  <c r="F181" i="5"/>
  <c r="F180" i="5"/>
  <c r="F179" i="5"/>
  <c r="F178" i="5"/>
  <c r="E182" i="5"/>
  <c r="E181" i="5"/>
  <c r="E180" i="5"/>
  <c r="E179" i="5"/>
  <c r="E178" i="5"/>
  <c r="E209" i="2"/>
  <c r="D181" i="5"/>
  <c r="D182" i="5"/>
  <c r="D180" i="5"/>
  <c r="D179" i="5"/>
  <c r="D178" i="5"/>
  <c r="C182" i="5"/>
  <c r="C181" i="5"/>
  <c r="C180" i="5"/>
  <c r="C179" i="5"/>
  <c r="C178" i="5"/>
  <c r="B182" i="5"/>
  <c r="B181" i="5"/>
  <c r="B180" i="5"/>
  <c r="B179" i="5"/>
  <c r="B178" i="5"/>
  <c r="E46" i="5"/>
  <c r="E45" i="5"/>
  <c r="E44" i="5"/>
  <c r="E43" i="5"/>
  <c r="E50" i="2"/>
  <c r="E49" i="2"/>
  <c r="D46" i="5"/>
  <c r="D45" i="5"/>
  <c r="D44" i="5"/>
  <c r="D43" i="5"/>
  <c r="D49" i="2"/>
  <c r="C46" i="5"/>
  <c r="C45" i="5"/>
  <c r="C44" i="5"/>
  <c r="C43" i="5"/>
  <c r="C49" i="2"/>
  <c r="B46" i="5"/>
  <c r="B45" i="5"/>
  <c r="B44" i="5"/>
  <c r="B43" i="5"/>
  <c r="B49" i="2"/>
  <c r="I38" i="5"/>
  <c r="I37" i="5"/>
  <c r="I36" i="5"/>
  <c r="I35" i="5"/>
  <c r="I34" i="5"/>
  <c r="H38" i="5"/>
  <c r="H37" i="5"/>
  <c r="H36" i="5"/>
  <c r="H35" i="5"/>
  <c r="H34" i="5"/>
  <c r="G38" i="5"/>
  <c r="G37" i="5"/>
  <c r="G36" i="5"/>
  <c r="F37" i="5"/>
  <c r="G35" i="5"/>
  <c r="G34" i="5"/>
  <c r="F38" i="5"/>
  <c r="F36" i="5"/>
  <c r="F35" i="5"/>
  <c r="F34" i="5"/>
  <c r="E38" i="5"/>
  <c r="E37" i="5"/>
  <c r="E36" i="5"/>
  <c r="E35" i="5"/>
  <c r="E34" i="5"/>
  <c r="D38" i="5"/>
  <c r="D37" i="5"/>
  <c r="D36" i="5"/>
  <c r="D35" i="5"/>
  <c r="D34" i="5"/>
  <c r="C38" i="5"/>
  <c r="C37" i="5"/>
  <c r="C36" i="5"/>
  <c r="C35" i="5"/>
  <c r="C34" i="5"/>
  <c r="B38" i="5"/>
  <c r="B37" i="5"/>
  <c r="B36" i="5"/>
  <c r="B35" i="5"/>
  <c r="B34" i="5"/>
  <c r="E28" i="8"/>
  <c r="E27" i="8"/>
  <c r="G209" i="2" a="1"/>
  <c r="G209" i="2"/>
  <c r="G208" i="2" a="1"/>
  <c r="G208" i="2"/>
  <c r="G207" i="2" a="1"/>
  <c r="G207" i="2"/>
  <c r="G206" i="2" a="1"/>
  <c r="G206" i="2"/>
  <c r="G205" i="2" a="1"/>
  <c r="G205" i="2"/>
  <c r="C209" i="2"/>
  <c r="C208" i="2"/>
  <c r="C207" i="2"/>
  <c r="C206" i="2"/>
  <c r="C205" i="2"/>
  <c r="B209" i="2"/>
  <c r="B208" i="2"/>
  <c r="B207" i="2"/>
  <c r="B206" i="2"/>
  <c r="B205" i="2"/>
  <c r="D205" i="2"/>
  <c r="E205" i="2"/>
  <c r="F205" i="2"/>
  <c r="D206" i="2"/>
  <c r="E206" i="2"/>
  <c r="F206" i="2"/>
  <c r="D207" i="2"/>
  <c r="E207" i="2"/>
  <c r="F207" i="2"/>
  <c r="D208" i="2"/>
  <c r="E208" i="2"/>
  <c r="F208" i="2"/>
  <c r="D209" i="2"/>
  <c r="F209" i="2"/>
  <c r="D29" i="8"/>
  <c r="D28" i="8"/>
  <c r="D27" i="8"/>
  <c r="D26" i="8"/>
  <c r="C26" i="8"/>
  <c r="C29" i="8"/>
  <c r="C28" i="8"/>
  <c r="C27" i="8"/>
  <c r="B29" i="8"/>
  <c r="E29" i="8" s="1"/>
  <c r="B28" i="8"/>
  <c r="B27" i="8"/>
  <c r="B26" i="8"/>
  <c r="E26" i="8" s="1"/>
  <c r="I20" i="8"/>
  <c r="F17" i="8"/>
  <c r="F18" i="8"/>
  <c r="G17" i="8"/>
  <c r="I21" i="8"/>
  <c r="G21" i="8"/>
  <c r="F21" i="8"/>
  <c r="E21" i="8"/>
  <c r="D21" i="8"/>
  <c r="C21" i="8"/>
  <c r="B21" i="8"/>
  <c r="C131" i="6"/>
  <c r="C130" i="6"/>
  <c r="G20" i="8"/>
  <c r="C129" i="6"/>
  <c r="C128" i="6"/>
  <c r="C127" i="6"/>
  <c r="B131" i="6"/>
  <c r="F20" i="8"/>
  <c r="B130" i="6"/>
  <c r="B129" i="6"/>
  <c r="B128" i="6"/>
  <c r="B127" i="6"/>
  <c r="E20" i="8"/>
  <c r="D20" i="8"/>
  <c r="C20" i="8"/>
  <c r="B20" i="8"/>
  <c r="I19" i="8"/>
  <c r="G19" i="8"/>
  <c r="F19" i="8"/>
  <c r="D52" i="2"/>
  <c r="E19" i="8"/>
  <c r="D128" i="6"/>
  <c r="D127" i="6"/>
  <c r="D51" i="2"/>
  <c r="D50" i="2"/>
  <c r="D19" i="8"/>
  <c r="D131" i="6"/>
  <c r="D130" i="6"/>
  <c r="D129" i="6"/>
  <c r="C19" i="8"/>
  <c r="B19" i="8"/>
  <c r="I18" i="8"/>
  <c r="G18" i="8"/>
  <c r="E18" i="8"/>
  <c r="D18" i="8"/>
  <c r="C18" i="8"/>
  <c r="B18" i="8"/>
  <c r="C52" i="2"/>
  <c r="C51" i="2"/>
  <c r="C50" i="2"/>
  <c r="I17" i="8"/>
  <c r="E17" i="8"/>
  <c r="B52" i="2"/>
  <c r="E52" i="2" s="1"/>
  <c r="B51" i="2"/>
  <c r="E51" i="2" s="1"/>
  <c r="D17" i="8"/>
  <c r="B50" i="2"/>
  <c r="C17" i="8"/>
  <c r="B17" i="8"/>
  <c r="H17" i="8"/>
  <c r="H18" i="8"/>
  <c r="H19" i="8"/>
  <c r="H20" i="8"/>
  <c r="H21" i="8"/>
  <c r="D37" i="6"/>
  <c r="D35" i="6"/>
  <c r="D34" i="6"/>
  <c r="C37" i="6"/>
  <c r="C36" i="6"/>
  <c r="C35" i="6"/>
  <c r="C34" i="6"/>
  <c r="B37" i="6"/>
  <c r="E37" i="6" s="1"/>
  <c r="B36" i="6"/>
  <c r="E36" i="6" s="1"/>
  <c r="B35" i="6"/>
  <c r="E35" i="6" s="1"/>
  <c r="B34" i="6"/>
  <c r="E34" i="6" s="1"/>
  <c r="I29" i="6"/>
  <c r="I28" i="6"/>
  <c r="I27" i="6"/>
  <c r="I26" i="6"/>
  <c r="I25" i="6"/>
  <c r="G29" i="6"/>
  <c r="G28" i="6"/>
  <c r="I39" i="2"/>
  <c r="I38" i="2"/>
  <c r="I37" i="2"/>
  <c r="I36" i="2"/>
  <c r="I35" i="2"/>
  <c r="G27" i="6"/>
  <c r="G39" i="2"/>
  <c r="G38" i="2"/>
  <c r="G37" i="2"/>
  <c r="G36" i="2"/>
  <c r="G35" i="2"/>
  <c r="G26" i="6"/>
  <c r="G25" i="6"/>
  <c r="F29" i="6"/>
  <c r="F28" i="6"/>
  <c r="F27" i="6"/>
  <c r="F26" i="6"/>
  <c r="F39" i="2"/>
  <c r="F25" i="6"/>
  <c r="F38" i="2"/>
  <c r="E29" i="6"/>
  <c r="F37" i="2"/>
  <c r="E28" i="6"/>
  <c r="F36" i="2"/>
  <c r="E27" i="6"/>
  <c r="F35" i="2"/>
  <c r="E26" i="6"/>
  <c r="E25" i="6"/>
  <c r="D29" i="6"/>
  <c r="D28" i="6"/>
  <c r="D27" i="6"/>
  <c r="D26" i="6"/>
  <c r="E39" i="2"/>
  <c r="E38" i="2"/>
  <c r="D25" i="6"/>
  <c r="E37" i="2"/>
  <c r="E36" i="2"/>
  <c r="E35" i="2"/>
  <c r="C29" i="6"/>
  <c r="C28" i="6"/>
  <c r="C27" i="6"/>
  <c r="C26" i="6"/>
  <c r="D39" i="2"/>
  <c r="C25" i="6"/>
  <c r="D38" i="2"/>
  <c r="D37" i="2"/>
  <c r="B29" i="6"/>
  <c r="D36" i="2"/>
  <c r="B28" i="6"/>
  <c r="D35" i="2"/>
  <c r="B27" i="6"/>
  <c r="C39" i="2"/>
  <c r="B26" i="6"/>
  <c r="C38" i="2"/>
  <c r="C37" i="2"/>
  <c r="C36" i="2"/>
  <c r="B25" i="6"/>
  <c r="C35" i="2"/>
  <c r="B39" i="2"/>
  <c r="B38" i="2"/>
  <c r="B37" i="2"/>
  <c r="B36" i="2"/>
  <c r="B35" i="2"/>
  <c r="I6" i="3"/>
  <c r="I5" i="3"/>
  <c r="I4" i="3"/>
  <c r="I3" i="3"/>
  <c r="I2" i="3"/>
  <c r="I94" i="3"/>
  <c r="I93" i="3"/>
  <c r="I92" i="3"/>
  <c r="I91" i="3"/>
  <c r="I90" i="3"/>
  <c r="G94" i="3"/>
  <c r="G93" i="3"/>
  <c r="G92" i="3"/>
  <c r="G91" i="3"/>
  <c r="G90" i="3"/>
  <c r="F94" i="3"/>
  <c r="F93" i="3"/>
  <c r="F92" i="3"/>
  <c r="F91" i="3"/>
  <c r="F90" i="3"/>
  <c r="E94" i="3"/>
  <c r="E93" i="3"/>
  <c r="E92" i="3"/>
  <c r="E91" i="3"/>
  <c r="E90" i="3"/>
  <c r="D94" i="3"/>
  <c r="D93" i="3"/>
  <c r="D92" i="3"/>
  <c r="D91" i="3"/>
  <c r="D90" i="3"/>
  <c r="C94" i="3"/>
  <c r="C93" i="3"/>
  <c r="C92" i="3"/>
  <c r="C91" i="3"/>
  <c r="C90" i="3"/>
  <c r="B94" i="3"/>
  <c r="B93" i="3"/>
  <c r="B92" i="3"/>
  <c r="B91" i="3"/>
  <c r="B90" i="3"/>
  <c r="A82" i="3"/>
  <c r="B86" i="3"/>
  <c r="B85" i="3"/>
  <c r="B84" i="3"/>
  <c r="B83" i="3"/>
  <c r="B82" i="3"/>
  <c r="C82" i="3" s="1"/>
  <c r="A86" i="3"/>
  <c r="A85" i="3"/>
  <c r="A84" i="3"/>
  <c r="A83" i="3"/>
  <c r="H35" i="2" l="1"/>
  <c r="H36" i="2"/>
  <c r="H37" i="2"/>
  <c r="H38" i="2"/>
  <c r="H39" i="2"/>
  <c r="H25" i="6"/>
  <c r="H26" i="6"/>
  <c r="H27" i="6"/>
  <c r="H28" i="6"/>
  <c r="H29" i="6"/>
  <c r="C83" i="3"/>
  <c r="C84" i="3"/>
  <c r="C85" i="3"/>
  <c r="C86" i="3"/>
  <c r="H90" i="3"/>
  <c r="H91" i="3"/>
  <c r="H92" i="3"/>
  <c r="H93" i="3"/>
  <c r="H94" i="3"/>
  <c r="D82" i="3"/>
  <c r="E82" i="3"/>
  <c r="E131" i="6" l="1"/>
  <c r="F131" i="6"/>
  <c r="E130" i="6"/>
  <c r="F130" i="6"/>
  <c r="E129" i="6"/>
  <c r="F129" i="6"/>
  <c r="E128" i="6"/>
  <c r="F128" i="6"/>
  <c r="E127" i="6"/>
  <c r="F127" i="6"/>
  <c r="D86" i="3"/>
  <c r="E86" i="3"/>
  <c r="D85" i="3"/>
  <c r="E85" i="3"/>
  <c r="D84" i="3"/>
  <c r="E84" i="3"/>
  <c r="D83" i="3"/>
  <c r="E8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<sst xmlns="http://schemas.openxmlformats.org/spreadsheetml/2006/main" count="474" uniqueCount="58">
  <si>
    <t>monthly_sales_revenue</t>
  </si>
  <si>
    <t>advertising_budget</t>
  </si>
  <si>
    <t>social_media_posts_per_week</t>
  </si>
  <si>
    <t>promotional_discount_percentage</t>
  </si>
  <si>
    <t>customer_visits</t>
  </si>
  <si>
    <t>store_location</t>
  </si>
  <si>
    <t>Residential</t>
  </si>
  <si>
    <t>City_Center</t>
  </si>
  <si>
    <t>Rural</t>
  </si>
  <si>
    <t>Mall</t>
  </si>
  <si>
    <t>Small_Town</t>
  </si>
  <si>
    <t>qualitative_variables</t>
  </si>
  <si>
    <t>Frequency</t>
  </si>
  <si>
    <t>Q1</t>
  </si>
  <si>
    <t>Q3</t>
  </si>
  <si>
    <t>IQR</t>
  </si>
  <si>
    <t xml:space="preserve">Lower Fence </t>
  </si>
  <si>
    <t>Upper Fence</t>
  </si>
  <si>
    <t>Variable</t>
  </si>
  <si>
    <t>Monthly Sales Revenue</t>
  </si>
  <si>
    <t>Advertising Budget</t>
  </si>
  <si>
    <t>Social Media Posts/Week</t>
  </si>
  <si>
    <t>Promotional Discount (%)</t>
  </si>
  <si>
    <t>Customer Visits</t>
  </si>
  <si>
    <t>Mean</t>
  </si>
  <si>
    <t>Median</t>
  </si>
  <si>
    <t>Mode</t>
  </si>
  <si>
    <t>SD</t>
  </si>
  <si>
    <t>Range</t>
  </si>
  <si>
    <t xml:space="preserve">Monthly Sales Revenue </t>
  </si>
  <si>
    <t>Promotional Discount(%)</t>
  </si>
  <si>
    <t>Store Location: Residential</t>
  </si>
  <si>
    <t>Correlation and Regression</t>
  </si>
  <si>
    <t>Independent Variable</t>
  </si>
  <si>
    <t>Correlation</t>
  </si>
  <si>
    <t>Slope</t>
  </si>
  <si>
    <t>Intercept</t>
  </si>
  <si>
    <t>Coefficient of Determination</t>
  </si>
  <si>
    <t>Interpretation</t>
  </si>
  <si>
    <t xml:space="preserve"> Strong positive correlation</t>
  </si>
  <si>
    <t>Moderate positive correlation</t>
  </si>
  <si>
    <t>Strong positive correlation</t>
  </si>
  <si>
    <t>Outlier Checking Using IQR Rule(Residential)</t>
  </si>
  <si>
    <t>Outlier</t>
  </si>
  <si>
    <t>Outlier value</t>
  </si>
  <si>
    <t>Store Location: City_Center</t>
  </si>
  <si>
    <t>Lower Fence</t>
  </si>
  <si>
    <t>Store Location: Mall</t>
  </si>
  <si>
    <t>Store Location: Rural</t>
  </si>
  <si>
    <t>Store Location: Small_Town</t>
  </si>
  <si>
    <t>Correlation and Regression(Residential)</t>
  </si>
  <si>
    <t>Correlation and Regression(City Center)</t>
  </si>
  <si>
    <t>Correlation and Regression(Mall)</t>
  </si>
  <si>
    <t>Correlation and Regression(Rural)</t>
  </si>
  <si>
    <t>Correlation and Regression(Small Town)</t>
  </si>
  <si>
    <t>Outlier Checking Using IQR Rule(entire dataset)</t>
  </si>
  <si>
    <t>Outliers</t>
  </si>
  <si>
    <t>#IQR rule fence and outlier check for all quantitative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</si>
</sst>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sz val="14"/>
      <color rgb="FF000000"/>
      <name val="Inconsolata"/>
      <family val="3"/>
      <charset val="1"/>
    </font>
    <font>
      <b/>
      <sz val="14"/>
      <color rgb="FF000000"/>
      <name val="Calibri"/>
    </font>
    <font>
      <sz val="13"/>
      <color theme="1"/>
      <name val="Calibri"/>
      <family val="2"/>
      <scheme val="minor"/>
    </font>
    <font>
      <sz val="13"/>
      <color rgb="FF000000"/>
      <name val="Calibri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2" borderId="0" xfId="0" applyFill="1" applyAlignment="1">
      <alignment wrapText="1"/>
    </xf>
    <xf numFmtId="0" fontId="9" fillId="0" borderId="0" xfId="0" applyFont="1" applyAlignment="1">
      <alignment horizontal="center" vertical="center"/>
    </xf>
    <xf numFmtId="0" fontId="11" fillId="0" borderId="4" xfId="0" applyFont="1" applyBorder="1" applyAlignment="1">
      <alignment readingOrder="1"/>
    </xf>
    <xf numFmtId="0" fontId="11" fillId="0" borderId="5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12" fillId="0" borderId="4" xfId="0" applyFont="1" applyBorder="1" applyAlignment="1">
      <alignment readingOrder="1"/>
    </xf>
    <xf numFmtId="0" fontId="12" fillId="0" borderId="5" xfId="0" applyFont="1" applyBorder="1" applyAlignment="1">
      <alignment readingOrder="1"/>
    </xf>
    <xf numFmtId="0" fontId="12" fillId="0" borderId="6" xfId="0" applyFont="1" applyBorder="1" applyAlignment="1">
      <alignment readingOrder="1"/>
    </xf>
    <xf numFmtId="0" fontId="12" fillId="0" borderId="7" xfId="0" applyFont="1" applyBorder="1" applyAlignment="1">
      <alignment readingOrder="1"/>
    </xf>
    <xf numFmtId="0" fontId="12" fillId="0" borderId="8" xfId="0" applyFont="1" applyBorder="1" applyAlignment="1">
      <alignment readingOrder="1"/>
    </xf>
    <xf numFmtId="0" fontId="12" fillId="0" borderId="9" xfId="0" applyFont="1" applyBorder="1" applyAlignment="1">
      <alignment readingOrder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 readingOrder="1"/>
    </xf>
    <xf numFmtId="0" fontId="11" fillId="0" borderId="2" xfId="0" applyFont="1" applyBorder="1" applyAlignment="1">
      <alignment vertical="center" readingOrder="1"/>
    </xf>
    <xf numFmtId="0" fontId="11" fillId="0" borderId="3" xfId="0" applyFont="1" applyBorder="1" applyAlignment="1">
      <alignment vertical="center" readingOrder="1"/>
    </xf>
    <xf numFmtId="0" fontId="0" fillId="0" borderId="0" xfId="0" applyFont="1" applyBorder="1"/>
    <xf numFmtId="0" fontId="0" fillId="0" borderId="10" xfId="0" applyFont="1" applyBorder="1"/>
    <xf numFmtId="0" fontId="11" fillId="0" borderId="4" xfId="0" applyFont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 readingOrder="1"/>
    </xf>
    <xf numFmtId="0" fontId="11" fillId="0" borderId="6" xfId="0" applyFont="1" applyBorder="1" applyAlignment="1">
      <alignment horizontal="center" vertical="center" readingOrder="1"/>
    </xf>
    <xf numFmtId="0" fontId="12" fillId="0" borderId="4" xfId="0" applyFont="1" applyBorder="1" applyAlignment="1">
      <alignment horizontal="center" vertical="center" readingOrder="1"/>
    </xf>
    <xf numFmtId="0" fontId="12" fillId="0" borderId="5" xfId="0" applyFont="1" applyBorder="1" applyAlignment="1">
      <alignment horizontal="center" vertical="center" readingOrder="1"/>
    </xf>
    <xf numFmtId="0" fontId="12" fillId="0" borderId="6" xfId="0" applyFont="1" applyBorder="1" applyAlignment="1">
      <alignment horizontal="center" vertical="center" readingOrder="1"/>
    </xf>
    <xf numFmtId="0" fontId="12" fillId="0" borderId="7" xfId="0" applyFont="1" applyBorder="1" applyAlignment="1">
      <alignment horizontal="center" vertical="center" readingOrder="1"/>
    </xf>
    <xf numFmtId="0" fontId="12" fillId="0" borderId="8" xfId="0" applyFont="1" applyBorder="1" applyAlignment="1">
      <alignment horizontal="center" vertical="center" readingOrder="1"/>
    </xf>
    <xf numFmtId="0" fontId="12" fillId="0" borderId="9" xfId="0" applyFont="1" applyBorder="1" applyAlignment="1">
      <alignment horizontal="center" vertical="center" readingOrder="1"/>
    </xf>
    <xf numFmtId="0" fontId="9" fillId="0" borderId="0" xfId="0" applyFont="1"/>
    <xf numFmtId="0" fontId="16" fillId="0" borderId="0" xfId="0" applyFont="1" applyFill="1" applyBorder="1" applyAlignment="1"/>
    <xf numFmtId="0" fontId="16" fillId="0" borderId="0" xfId="0" applyFont="1" applyFill="1" applyAlignment="1"/>
    <xf numFmtId="0" fontId="17" fillId="0" borderId="0" xfId="0" applyFont="1" applyFill="1" applyBorder="1" applyAlignment="1"/>
    <xf numFmtId="0" fontId="17" fillId="0" borderId="0" xfId="0" applyFont="1" applyFill="1" applyBorder="1" applyAlignment="1">
      <alignment wrapText="1"/>
    </xf>
    <xf numFmtId="0" fontId="16" fillId="0" borderId="0" xfId="0" applyFont="1" applyFill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readingOrder="1"/>
    </xf>
    <xf numFmtId="0" fontId="11" fillId="0" borderId="2" xfId="0" applyFont="1" applyBorder="1" applyAlignment="1">
      <alignment horizontal="center" vertical="center" readingOrder="1"/>
    </xf>
    <xf numFmtId="0" fontId="11" fillId="0" borderId="3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'Whole Data'!$I$1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'Whole Data'!$H$2:$H$6</c:f>
              <c:strCache>
                <c:ptCount val="5"/>
                <c:pt idx="0">
                  <c:v>City_Center</c:v>
                </c:pt>
                <c:pt idx="1">
                  <c:v>Mall</c:v>
                </c:pt>
                <c:pt idx="2">
                  <c:v>Residential</c:v>
                </c:pt>
                <c:pt idx="3">
                  <c:v>Rural</c:v>
                </c:pt>
                <c:pt idx="4">
                  <c:v>Small_Town</c:v>
                </c:pt>
              </c:strCache>
            </c:strRef>
          </c:cat>
          <c:val>
            <c:numRef>
              <c:f>'Whole Data'!$I$2:$I$6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B-4776-95AB-B9568A287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974088"/>
        <c:axId val="1992495624"/>
      </c:barChart>
      <c:catAx>
        <c:axId val="198097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95624"/>
        <c:crosses val="autoZero"/>
        <c:auto val="1"/>
        <c:lblAlgn val="ctr"/>
        <c:lblOffset val="100"/>
        <c:noMultiLvlLbl val="0"/>
      </c:catAx>
      <c:valAx>
        <c:axId val="199249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97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Qualitative Variables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'Whole Data'!$I$1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'Whole Data'!$H$2:$H$6</c:f>
              <c:strCache>
                <c:ptCount val="5"/>
                <c:pt idx="0">
                  <c:v>City_Center</c:v>
                </c:pt>
                <c:pt idx="1">
                  <c:v>Mall</c:v>
                </c:pt>
                <c:pt idx="2">
                  <c:v>Residential</c:v>
                </c:pt>
                <c:pt idx="3">
                  <c:v>Rural</c:v>
                </c:pt>
                <c:pt idx="4">
                  <c:v>Small_Town</c:v>
                </c:pt>
              </c:strCache>
            </c:strRef>
          </c:cat>
          <c:val>
            <c:numRef>
              <c:f>'Whole Data'!$I$2:$I$6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D-4937-A6FC-ECB28EDAB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269959"/>
        <c:axId val="1830078471"/>
      </c:barChart>
      <c:catAx>
        <c:axId val="176626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78471"/>
        <c:crosses val="autoZero"/>
        <c:auto val="1"/>
        <c:lblAlgn val="ctr"/>
        <c:lblOffset val="100"/>
        <c:noMultiLvlLbl val="0"/>
      </c:catAx>
      <c:valAx>
        <c:axId val="1830078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69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advertising_budget</a:t>
            </a:r>
          </a:p>
        </c:rich>
      </c:tx>
      <c:layout>
        <c:manualLayout>
          <c:xMode val="edge"/>
          <c:yMode val="edge"/>
          <c:x val="0.1942908803066283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'Whole Data'!B2:B79</c:f>
              <c:numCache>
                <c:formatCode>General</c:formatCode>
                <c:ptCount val="78"/>
                <c:pt idx="0">
                  <c:v>2500</c:v>
                </c:pt>
                <c:pt idx="1">
                  <c:v>6000</c:v>
                </c:pt>
                <c:pt idx="2">
                  <c:v>5200</c:v>
                </c:pt>
                <c:pt idx="3">
                  <c:v>6500</c:v>
                </c:pt>
                <c:pt idx="4">
                  <c:v>5700</c:v>
                </c:pt>
                <c:pt idx="5">
                  <c:v>7200</c:v>
                </c:pt>
                <c:pt idx="6">
                  <c:v>5400</c:v>
                </c:pt>
                <c:pt idx="7">
                  <c:v>6800</c:v>
                </c:pt>
                <c:pt idx="8">
                  <c:v>6100</c:v>
                </c:pt>
                <c:pt idx="9">
                  <c:v>7600</c:v>
                </c:pt>
                <c:pt idx="10">
                  <c:v>5600</c:v>
                </c:pt>
                <c:pt idx="11">
                  <c:v>7000</c:v>
                </c:pt>
                <c:pt idx="12">
                  <c:v>5800</c:v>
                </c:pt>
                <c:pt idx="13">
                  <c:v>7300</c:v>
                </c:pt>
                <c:pt idx="14">
                  <c:v>6000</c:v>
                </c:pt>
                <c:pt idx="15">
                  <c:v>7800</c:v>
                </c:pt>
                <c:pt idx="16">
                  <c:v>6200</c:v>
                </c:pt>
                <c:pt idx="17">
                  <c:v>8200</c:v>
                </c:pt>
                <c:pt idx="18">
                  <c:v>6400</c:v>
                </c:pt>
                <c:pt idx="19">
                  <c:v>8500</c:v>
                </c:pt>
                <c:pt idx="20">
                  <c:v>4200</c:v>
                </c:pt>
                <c:pt idx="21">
                  <c:v>3100</c:v>
                </c:pt>
                <c:pt idx="22">
                  <c:v>3600</c:v>
                </c:pt>
                <c:pt idx="23">
                  <c:v>3000</c:v>
                </c:pt>
                <c:pt idx="24">
                  <c:v>4400</c:v>
                </c:pt>
                <c:pt idx="25">
                  <c:v>3300</c:v>
                </c:pt>
                <c:pt idx="26">
                  <c:v>3900</c:v>
                </c:pt>
                <c:pt idx="27">
                  <c:v>3200</c:v>
                </c:pt>
                <c:pt idx="28">
                  <c:v>4500</c:v>
                </c:pt>
                <c:pt idx="29">
                  <c:v>3400</c:v>
                </c:pt>
                <c:pt idx="30">
                  <c:v>4100</c:v>
                </c:pt>
                <c:pt idx="31">
                  <c:v>3500</c:v>
                </c:pt>
                <c:pt idx="32">
                  <c:v>4300</c:v>
                </c:pt>
                <c:pt idx="33">
                  <c:v>3700</c:v>
                </c:pt>
                <c:pt idx="34">
                  <c:v>4600</c:v>
                </c:pt>
                <c:pt idx="35">
                  <c:v>3950</c:v>
                </c:pt>
                <c:pt idx="36">
                  <c:v>4700</c:v>
                </c:pt>
                <c:pt idx="37">
                  <c:v>4050</c:v>
                </c:pt>
                <c:pt idx="38">
                  <c:v>4800</c:v>
                </c:pt>
                <c:pt idx="39">
                  <c:v>1200</c:v>
                </c:pt>
                <c:pt idx="40">
                  <c:v>1800</c:v>
                </c:pt>
                <c:pt idx="41">
                  <c:v>1400</c:v>
                </c:pt>
                <c:pt idx="42">
                  <c:v>2100</c:v>
                </c:pt>
                <c:pt idx="43">
                  <c:v>1600</c:v>
                </c:pt>
                <c:pt idx="44">
                  <c:v>1700</c:v>
                </c:pt>
                <c:pt idx="45">
                  <c:v>1500</c:v>
                </c:pt>
                <c:pt idx="46">
                  <c:v>2000</c:v>
                </c:pt>
                <c:pt idx="47">
                  <c:v>1550</c:v>
                </c:pt>
                <c:pt idx="48">
                  <c:v>1900</c:v>
                </c:pt>
                <c:pt idx="49">
                  <c:v>1650</c:v>
                </c:pt>
                <c:pt idx="50">
                  <c:v>2050</c:v>
                </c:pt>
                <c:pt idx="51">
                  <c:v>1750</c:v>
                </c:pt>
                <c:pt idx="52">
                  <c:v>2150</c:v>
                </c:pt>
                <c:pt idx="53">
                  <c:v>1850</c:v>
                </c:pt>
                <c:pt idx="54">
                  <c:v>2200</c:v>
                </c:pt>
                <c:pt idx="55">
                  <c:v>1950</c:v>
                </c:pt>
                <c:pt idx="56">
                  <c:v>2300</c:v>
                </c:pt>
                <c:pt idx="57">
                  <c:v>2050</c:v>
                </c:pt>
                <c:pt idx="58">
                  <c:v>2400</c:v>
                </c:pt>
                <c:pt idx="59">
                  <c:v>500</c:v>
                </c:pt>
                <c:pt idx="60">
                  <c:v>450</c:v>
                </c:pt>
                <c:pt idx="61">
                  <c:v>520</c:v>
                </c:pt>
                <c:pt idx="62">
                  <c:v>600</c:v>
                </c:pt>
                <c:pt idx="63">
                  <c:v>650</c:v>
                </c:pt>
                <c:pt idx="64">
                  <c:v>700</c:v>
                </c:pt>
                <c:pt idx="65">
                  <c:v>720</c:v>
                </c:pt>
                <c:pt idx="66">
                  <c:v>750</c:v>
                </c:pt>
                <c:pt idx="67">
                  <c:v>780</c:v>
                </c:pt>
                <c:pt idx="68">
                  <c:v>820</c:v>
                </c:pt>
                <c:pt idx="69">
                  <c:v>900</c:v>
                </c:pt>
                <c:pt idx="70">
                  <c:v>800</c:v>
                </c:pt>
                <c:pt idx="71">
                  <c:v>850</c:v>
                </c:pt>
                <c:pt idx="72">
                  <c:v>950</c:v>
                </c:pt>
                <c:pt idx="73">
                  <c:v>1000</c:v>
                </c:pt>
                <c:pt idx="74">
                  <c:v>1050</c:v>
                </c:pt>
                <c:pt idx="75">
                  <c:v>1100</c:v>
                </c:pt>
                <c:pt idx="76">
                  <c:v>1200</c:v>
                </c:pt>
                <c:pt idx="77">
                  <c:v>1300</c:v>
                </c:pt>
              </c:numCache>
            </c:numRef>
          </c:xVal>
          <c:yVal>
            <c:numRef>
              <c:f>'Whole Data'!A2:A79</c:f>
              <c:numCache>
                <c:formatCode>General</c:formatCode>
                <c:ptCount val="78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  <c:pt idx="20">
                  <c:v>31200</c:v>
                </c:pt>
                <c:pt idx="21">
                  <c:v>27800</c:v>
                </c:pt>
                <c:pt idx="22">
                  <c:v>29600</c:v>
                </c:pt>
                <c:pt idx="23">
                  <c:v>26800</c:v>
                </c:pt>
                <c:pt idx="24">
                  <c:v>32400</c:v>
                </c:pt>
                <c:pt idx="25">
                  <c:v>28300</c:v>
                </c:pt>
                <c:pt idx="26">
                  <c:v>30500</c:v>
                </c:pt>
                <c:pt idx="27">
                  <c:v>27400</c:v>
                </c:pt>
                <c:pt idx="28">
                  <c:v>33200</c:v>
                </c:pt>
                <c:pt idx="29">
                  <c:v>28900</c:v>
                </c:pt>
                <c:pt idx="30">
                  <c:v>31400</c:v>
                </c:pt>
                <c:pt idx="31">
                  <c:v>29400</c:v>
                </c:pt>
                <c:pt idx="32">
                  <c:v>32700</c:v>
                </c:pt>
                <c:pt idx="33">
                  <c:v>30100</c:v>
                </c:pt>
                <c:pt idx="34">
                  <c:v>33800</c:v>
                </c:pt>
                <c:pt idx="35">
                  <c:v>30900</c:v>
                </c:pt>
                <c:pt idx="36">
                  <c:v>34300</c:v>
                </c:pt>
                <c:pt idx="37">
                  <c:v>31600</c:v>
                </c:pt>
                <c:pt idx="38">
                  <c:v>35100</c:v>
                </c:pt>
                <c:pt idx="39">
                  <c:v>18200</c:v>
                </c:pt>
                <c:pt idx="40">
                  <c:v>22400</c:v>
                </c:pt>
                <c:pt idx="41">
                  <c:v>19800</c:v>
                </c:pt>
                <c:pt idx="42">
                  <c:v>24300</c:v>
                </c:pt>
                <c:pt idx="43">
                  <c:v>20700</c:v>
                </c:pt>
                <c:pt idx="44">
                  <c:v>22100</c:v>
                </c:pt>
                <c:pt idx="45">
                  <c:v>20500</c:v>
                </c:pt>
                <c:pt idx="46">
                  <c:v>23600</c:v>
                </c:pt>
                <c:pt idx="47">
                  <c:v>21200</c:v>
                </c:pt>
                <c:pt idx="48">
                  <c:v>22800</c:v>
                </c:pt>
                <c:pt idx="49">
                  <c:v>21800</c:v>
                </c:pt>
                <c:pt idx="50">
                  <c:v>24100</c:v>
                </c:pt>
                <c:pt idx="51">
                  <c:v>22300</c:v>
                </c:pt>
                <c:pt idx="52">
                  <c:v>24900</c:v>
                </c:pt>
                <c:pt idx="53">
                  <c:v>23200</c:v>
                </c:pt>
                <c:pt idx="54">
                  <c:v>25400</c:v>
                </c:pt>
                <c:pt idx="55">
                  <c:v>23700</c:v>
                </c:pt>
                <c:pt idx="56">
                  <c:v>26100</c:v>
                </c:pt>
                <c:pt idx="57">
                  <c:v>24400</c:v>
                </c:pt>
                <c:pt idx="58">
                  <c:v>26800</c:v>
                </c:pt>
                <c:pt idx="59">
                  <c:v>9400</c:v>
                </c:pt>
                <c:pt idx="60">
                  <c:v>8700</c:v>
                </c:pt>
                <c:pt idx="61">
                  <c:v>9100</c:v>
                </c:pt>
                <c:pt idx="62">
                  <c:v>9800</c:v>
                </c:pt>
                <c:pt idx="63">
                  <c:v>10300</c:v>
                </c:pt>
                <c:pt idx="64">
                  <c:v>11200</c:v>
                </c:pt>
                <c:pt idx="65">
                  <c:v>11800</c:v>
                </c:pt>
                <c:pt idx="66">
                  <c:v>12100</c:v>
                </c:pt>
                <c:pt idx="67">
                  <c:v>12600</c:v>
                </c:pt>
                <c:pt idx="68">
                  <c:v>13400</c:v>
                </c:pt>
                <c:pt idx="69">
                  <c:v>15000</c:v>
                </c:pt>
                <c:pt idx="70">
                  <c:v>13200</c:v>
                </c:pt>
                <c:pt idx="71">
                  <c:v>14700</c:v>
                </c:pt>
                <c:pt idx="72">
                  <c:v>15900</c:v>
                </c:pt>
                <c:pt idx="73">
                  <c:v>16400</c:v>
                </c:pt>
                <c:pt idx="74">
                  <c:v>17100</c:v>
                </c:pt>
                <c:pt idx="75">
                  <c:v>17600</c:v>
                </c:pt>
                <c:pt idx="76">
                  <c:v>18300</c:v>
                </c:pt>
                <c:pt idx="77">
                  <c:v>19100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D3-4B69-B925-40FFDC4A4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895368"/>
        <c:axId val="786897928"/>
      </c:scatterChart>
      <c:valAx>
        <c:axId val="78689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97928"/>
        <c:crosses val="autoZero"/>
        <c:crossBetween val="midCat"/>
      </c:valAx>
      <c:valAx>
        <c:axId val="78689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95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social_media_posts_per_week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'Whole Data'!C2:C79</c:f>
              <c:numCache>
                <c:formatCode>General</c:formatCode>
                <c:ptCount val="78"/>
                <c:pt idx="0">
                  <c:v>10</c:v>
                </c:pt>
                <c:pt idx="1">
                  <c:v>20</c:v>
                </c:pt>
                <c:pt idx="2">
                  <c:v>18</c:v>
                </c:pt>
                <c:pt idx="3">
                  <c:v>21</c:v>
                </c:pt>
                <c:pt idx="4">
                  <c:v>19</c:v>
                </c:pt>
                <c:pt idx="5">
                  <c:v>23</c:v>
                </c:pt>
                <c:pt idx="6">
                  <c:v>18</c:v>
                </c:pt>
                <c:pt idx="7">
                  <c:v>22</c:v>
                </c:pt>
                <c:pt idx="8">
                  <c:v>20</c:v>
                </c:pt>
                <c:pt idx="9">
                  <c:v>24</c:v>
                </c:pt>
                <c:pt idx="10">
                  <c:v>19</c:v>
                </c:pt>
                <c:pt idx="11">
                  <c:v>22</c:v>
                </c:pt>
                <c:pt idx="12">
                  <c:v>19</c:v>
                </c:pt>
                <c:pt idx="13">
                  <c:v>23</c:v>
                </c:pt>
                <c:pt idx="14">
                  <c:v>20</c:v>
                </c:pt>
                <c:pt idx="15">
                  <c:v>25</c:v>
                </c:pt>
                <c:pt idx="16">
                  <c:v>21</c:v>
                </c:pt>
                <c:pt idx="17">
                  <c:v>26</c:v>
                </c:pt>
                <c:pt idx="18">
                  <c:v>21</c:v>
                </c:pt>
                <c:pt idx="19">
                  <c:v>27</c:v>
                </c:pt>
                <c:pt idx="20">
                  <c:v>15</c:v>
                </c:pt>
                <c:pt idx="21">
                  <c:v>11</c:v>
                </c:pt>
                <c:pt idx="22">
                  <c:v>13</c:v>
                </c:pt>
                <c:pt idx="23">
                  <c:v>12</c:v>
                </c:pt>
                <c:pt idx="24">
                  <c:v>16</c:v>
                </c:pt>
                <c:pt idx="25">
                  <c:v>12</c:v>
                </c:pt>
                <c:pt idx="26">
                  <c:v>14</c:v>
                </c:pt>
                <c:pt idx="27">
                  <c:v>11</c:v>
                </c:pt>
                <c:pt idx="28">
                  <c:v>16</c:v>
                </c:pt>
                <c:pt idx="29">
                  <c:v>13</c:v>
                </c:pt>
                <c:pt idx="30">
                  <c:v>15</c:v>
                </c:pt>
                <c:pt idx="31">
                  <c:v>13</c:v>
                </c:pt>
                <c:pt idx="32">
                  <c:v>16</c:v>
                </c:pt>
                <c:pt idx="33">
                  <c:v>14</c:v>
                </c:pt>
                <c:pt idx="34">
                  <c:v>17</c:v>
                </c:pt>
                <c:pt idx="35">
                  <c:v>15</c:v>
                </c:pt>
                <c:pt idx="36">
                  <c:v>17</c:v>
                </c:pt>
                <c:pt idx="37">
                  <c:v>15</c:v>
                </c:pt>
                <c:pt idx="38">
                  <c:v>18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9</c:v>
                </c:pt>
                <c:pt idx="43">
                  <c:v>7</c:v>
                </c:pt>
                <c:pt idx="44">
                  <c:v>6</c:v>
                </c:pt>
                <c:pt idx="45">
                  <c:v>7</c:v>
                </c:pt>
                <c:pt idx="46">
                  <c:v>9</c:v>
                </c:pt>
                <c:pt idx="47">
                  <c:v>8</c:v>
                </c:pt>
                <c:pt idx="48">
                  <c:v>9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10</c:v>
                </c:pt>
                <c:pt idx="53">
                  <c:v>9</c:v>
                </c:pt>
                <c:pt idx="54">
                  <c:v>10</c:v>
                </c:pt>
                <c:pt idx="55">
                  <c:v>9</c:v>
                </c:pt>
                <c:pt idx="56">
                  <c:v>10</c:v>
                </c:pt>
                <c:pt idx="57">
                  <c:v>9</c:v>
                </c:pt>
                <c:pt idx="58">
                  <c:v>11</c:v>
                </c:pt>
                <c:pt idx="59">
                  <c:v>3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</c:numCache>
            </c:numRef>
          </c:xVal>
          <c:yVal>
            <c:numRef>
              <c:f>'Whole Data'!A2:A79</c:f>
              <c:numCache>
                <c:formatCode>General</c:formatCode>
                <c:ptCount val="78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  <c:pt idx="20">
                  <c:v>31200</c:v>
                </c:pt>
                <c:pt idx="21">
                  <c:v>27800</c:v>
                </c:pt>
                <c:pt idx="22">
                  <c:v>29600</c:v>
                </c:pt>
                <c:pt idx="23">
                  <c:v>26800</c:v>
                </c:pt>
                <c:pt idx="24">
                  <c:v>32400</c:v>
                </c:pt>
                <c:pt idx="25">
                  <c:v>28300</c:v>
                </c:pt>
                <c:pt idx="26">
                  <c:v>30500</c:v>
                </c:pt>
                <c:pt idx="27">
                  <c:v>27400</c:v>
                </c:pt>
                <c:pt idx="28">
                  <c:v>33200</c:v>
                </c:pt>
                <c:pt idx="29">
                  <c:v>28900</c:v>
                </c:pt>
                <c:pt idx="30">
                  <c:v>31400</c:v>
                </c:pt>
                <c:pt idx="31">
                  <c:v>29400</c:v>
                </c:pt>
                <c:pt idx="32">
                  <c:v>32700</c:v>
                </c:pt>
                <c:pt idx="33">
                  <c:v>30100</c:v>
                </c:pt>
                <c:pt idx="34">
                  <c:v>33800</c:v>
                </c:pt>
                <c:pt idx="35">
                  <c:v>30900</c:v>
                </c:pt>
                <c:pt idx="36">
                  <c:v>34300</c:v>
                </c:pt>
                <c:pt idx="37">
                  <c:v>31600</c:v>
                </c:pt>
                <c:pt idx="38">
                  <c:v>35100</c:v>
                </c:pt>
                <c:pt idx="39">
                  <c:v>18200</c:v>
                </c:pt>
                <c:pt idx="40">
                  <c:v>22400</c:v>
                </c:pt>
                <c:pt idx="41">
                  <c:v>19800</c:v>
                </c:pt>
                <c:pt idx="42">
                  <c:v>24300</c:v>
                </c:pt>
                <c:pt idx="43">
                  <c:v>20700</c:v>
                </c:pt>
                <c:pt idx="44">
                  <c:v>22100</c:v>
                </c:pt>
                <c:pt idx="45">
                  <c:v>20500</c:v>
                </c:pt>
                <c:pt idx="46">
                  <c:v>23600</c:v>
                </c:pt>
                <c:pt idx="47">
                  <c:v>21200</c:v>
                </c:pt>
                <c:pt idx="48">
                  <c:v>22800</c:v>
                </c:pt>
                <c:pt idx="49">
                  <c:v>21800</c:v>
                </c:pt>
                <c:pt idx="50">
                  <c:v>24100</c:v>
                </c:pt>
                <c:pt idx="51">
                  <c:v>22300</c:v>
                </c:pt>
                <c:pt idx="52">
                  <c:v>24900</c:v>
                </c:pt>
                <c:pt idx="53">
                  <c:v>23200</c:v>
                </c:pt>
                <c:pt idx="54">
                  <c:v>25400</c:v>
                </c:pt>
                <c:pt idx="55">
                  <c:v>23700</c:v>
                </c:pt>
                <c:pt idx="56">
                  <c:v>26100</c:v>
                </c:pt>
                <c:pt idx="57">
                  <c:v>24400</c:v>
                </c:pt>
                <c:pt idx="58">
                  <c:v>26800</c:v>
                </c:pt>
                <c:pt idx="59">
                  <c:v>9400</c:v>
                </c:pt>
                <c:pt idx="60">
                  <c:v>8700</c:v>
                </c:pt>
                <c:pt idx="61">
                  <c:v>9100</c:v>
                </c:pt>
                <c:pt idx="62">
                  <c:v>9800</c:v>
                </c:pt>
                <c:pt idx="63">
                  <c:v>10300</c:v>
                </c:pt>
                <c:pt idx="64">
                  <c:v>11200</c:v>
                </c:pt>
                <c:pt idx="65">
                  <c:v>11800</c:v>
                </c:pt>
                <c:pt idx="66">
                  <c:v>12100</c:v>
                </c:pt>
                <c:pt idx="67">
                  <c:v>12600</c:v>
                </c:pt>
                <c:pt idx="68">
                  <c:v>13400</c:v>
                </c:pt>
                <c:pt idx="69">
                  <c:v>15000</c:v>
                </c:pt>
                <c:pt idx="70">
                  <c:v>13200</c:v>
                </c:pt>
                <c:pt idx="71">
                  <c:v>14700</c:v>
                </c:pt>
                <c:pt idx="72">
                  <c:v>15900</c:v>
                </c:pt>
                <c:pt idx="73">
                  <c:v>16400</c:v>
                </c:pt>
                <c:pt idx="74">
                  <c:v>17100</c:v>
                </c:pt>
                <c:pt idx="75">
                  <c:v>17600</c:v>
                </c:pt>
                <c:pt idx="76">
                  <c:v>18300</c:v>
                </c:pt>
                <c:pt idx="77">
                  <c:v>19100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39-45D5-AD54-94CA4FE30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64263"/>
        <c:axId val="279425031"/>
      </c:scatterChart>
      <c:valAx>
        <c:axId val="237664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25031"/>
        <c:crosses val="autoZero"/>
        <c:crossBetween val="midCat"/>
      </c:valAx>
      <c:valAx>
        <c:axId val="27942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664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promotional_discount_percentage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'Whole Data'!D2:D79</c:f>
              <c:numCache>
                <c:formatCode>General</c:formatCode>
                <c:ptCount val="78"/>
                <c:pt idx="0">
                  <c:v>12</c:v>
                </c:pt>
                <c:pt idx="1">
                  <c:v>15</c:v>
                </c:pt>
                <c:pt idx="2">
                  <c:v>13</c:v>
                </c:pt>
                <c:pt idx="3">
                  <c:v>14</c:v>
                </c:pt>
                <c:pt idx="4">
                  <c:v>12</c:v>
                </c:pt>
                <c:pt idx="5">
                  <c:v>16</c:v>
                </c:pt>
                <c:pt idx="6">
                  <c:v>12</c:v>
                </c:pt>
                <c:pt idx="7">
                  <c:v>15</c:v>
                </c:pt>
                <c:pt idx="8">
                  <c:v>13</c:v>
                </c:pt>
                <c:pt idx="9">
                  <c:v>17</c:v>
                </c:pt>
                <c:pt idx="10">
                  <c:v>13</c:v>
                </c:pt>
                <c:pt idx="11">
                  <c:v>16</c:v>
                </c:pt>
                <c:pt idx="12">
                  <c:v>12</c:v>
                </c:pt>
                <c:pt idx="13">
                  <c:v>16</c:v>
                </c:pt>
                <c:pt idx="14">
                  <c:v>13</c:v>
                </c:pt>
                <c:pt idx="15">
                  <c:v>18</c:v>
                </c:pt>
                <c:pt idx="16">
                  <c:v>14</c:v>
                </c:pt>
                <c:pt idx="17">
                  <c:v>19</c:v>
                </c:pt>
                <c:pt idx="18">
                  <c:v>14</c:v>
                </c:pt>
                <c:pt idx="19">
                  <c:v>20</c:v>
                </c:pt>
                <c:pt idx="20">
                  <c:v>10</c:v>
                </c:pt>
                <c:pt idx="21">
                  <c:v>9</c:v>
                </c:pt>
                <c:pt idx="22">
                  <c:v>11</c:v>
                </c:pt>
                <c:pt idx="23">
                  <c:v>10</c:v>
                </c:pt>
                <c:pt idx="24">
                  <c:v>11</c:v>
                </c:pt>
                <c:pt idx="25">
                  <c:v>10</c:v>
                </c:pt>
                <c:pt idx="26">
                  <c:v>11</c:v>
                </c:pt>
                <c:pt idx="27">
                  <c:v>9</c:v>
                </c:pt>
                <c:pt idx="28">
                  <c:v>12</c:v>
                </c:pt>
                <c:pt idx="29">
                  <c:v>10</c:v>
                </c:pt>
                <c:pt idx="30">
                  <c:v>11</c:v>
                </c:pt>
                <c:pt idx="31">
                  <c:v>10</c:v>
                </c:pt>
                <c:pt idx="32">
                  <c:v>11</c:v>
                </c:pt>
                <c:pt idx="33">
                  <c:v>10</c:v>
                </c:pt>
                <c:pt idx="34">
                  <c:v>12</c:v>
                </c:pt>
                <c:pt idx="35">
                  <c:v>11</c:v>
                </c:pt>
                <c:pt idx="36">
                  <c:v>12</c:v>
                </c:pt>
                <c:pt idx="37">
                  <c:v>11</c:v>
                </c:pt>
                <c:pt idx="38">
                  <c:v>12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6</c:v>
                </c:pt>
                <c:pt idx="45">
                  <c:v>8</c:v>
                </c:pt>
                <c:pt idx="46">
                  <c:v>7</c:v>
                </c:pt>
                <c:pt idx="47">
                  <c:v>8</c:v>
                </c:pt>
                <c:pt idx="48">
                  <c:v>7</c:v>
                </c:pt>
                <c:pt idx="49">
                  <c:v>9</c:v>
                </c:pt>
                <c:pt idx="50">
                  <c:v>7</c:v>
                </c:pt>
                <c:pt idx="51">
                  <c:v>8</c:v>
                </c:pt>
                <c:pt idx="52">
                  <c:v>8</c:v>
                </c:pt>
                <c:pt idx="53">
                  <c:v>7</c:v>
                </c:pt>
                <c:pt idx="54">
                  <c:v>9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9</c:v>
                </c:pt>
                <c:pt idx="59">
                  <c:v>8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10</c:v>
                </c:pt>
                <c:pt idx="64">
                  <c:v>8</c:v>
                </c:pt>
                <c:pt idx="65">
                  <c:v>9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5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7</c:v>
                </c:pt>
                <c:pt idx="77">
                  <c:v>7</c:v>
                </c:pt>
              </c:numCache>
            </c:numRef>
          </c:xVal>
          <c:yVal>
            <c:numRef>
              <c:f>'Whole Data'!A2:A79</c:f>
              <c:numCache>
                <c:formatCode>General</c:formatCode>
                <c:ptCount val="78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  <c:pt idx="20">
                  <c:v>31200</c:v>
                </c:pt>
                <c:pt idx="21">
                  <c:v>27800</c:v>
                </c:pt>
                <c:pt idx="22">
                  <c:v>29600</c:v>
                </c:pt>
                <c:pt idx="23">
                  <c:v>26800</c:v>
                </c:pt>
                <c:pt idx="24">
                  <c:v>32400</c:v>
                </c:pt>
                <c:pt idx="25">
                  <c:v>28300</c:v>
                </c:pt>
                <c:pt idx="26">
                  <c:v>30500</c:v>
                </c:pt>
                <c:pt idx="27">
                  <c:v>27400</c:v>
                </c:pt>
                <c:pt idx="28">
                  <c:v>33200</c:v>
                </c:pt>
                <c:pt idx="29">
                  <c:v>28900</c:v>
                </c:pt>
                <c:pt idx="30">
                  <c:v>31400</c:v>
                </c:pt>
                <c:pt idx="31">
                  <c:v>29400</c:v>
                </c:pt>
                <c:pt idx="32">
                  <c:v>32700</c:v>
                </c:pt>
                <c:pt idx="33">
                  <c:v>30100</c:v>
                </c:pt>
                <c:pt idx="34">
                  <c:v>33800</c:v>
                </c:pt>
                <c:pt idx="35">
                  <c:v>30900</c:v>
                </c:pt>
                <c:pt idx="36">
                  <c:v>34300</c:v>
                </c:pt>
                <c:pt idx="37">
                  <c:v>31600</c:v>
                </c:pt>
                <c:pt idx="38">
                  <c:v>35100</c:v>
                </c:pt>
                <c:pt idx="39">
                  <c:v>18200</c:v>
                </c:pt>
                <c:pt idx="40">
                  <c:v>22400</c:v>
                </c:pt>
                <c:pt idx="41">
                  <c:v>19800</c:v>
                </c:pt>
                <c:pt idx="42">
                  <c:v>24300</c:v>
                </c:pt>
                <c:pt idx="43">
                  <c:v>20700</c:v>
                </c:pt>
                <c:pt idx="44">
                  <c:v>22100</c:v>
                </c:pt>
                <c:pt idx="45">
                  <c:v>20500</c:v>
                </c:pt>
                <c:pt idx="46">
                  <c:v>23600</c:v>
                </c:pt>
                <c:pt idx="47">
                  <c:v>21200</c:v>
                </c:pt>
                <c:pt idx="48">
                  <c:v>22800</c:v>
                </c:pt>
                <c:pt idx="49">
                  <c:v>21800</c:v>
                </c:pt>
                <c:pt idx="50">
                  <c:v>24100</c:v>
                </c:pt>
                <c:pt idx="51">
                  <c:v>22300</c:v>
                </c:pt>
                <c:pt idx="52">
                  <c:v>24900</c:v>
                </c:pt>
                <c:pt idx="53">
                  <c:v>23200</c:v>
                </c:pt>
                <c:pt idx="54">
                  <c:v>25400</c:v>
                </c:pt>
                <c:pt idx="55">
                  <c:v>23700</c:v>
                </c:pt>
                <c:pt idx="56">
                  <c:v>26100</c:v>
                </c:pt>
                <c:pt idx="57">
                  <c:v>24400</c:v>
                </c:pt>
                <c:pt idx="58">
                  <c:v>26800</c:v>
                </c:pt>
                <c:pt idx="59">
                  <c:v>9400</c:v>
                </c:pt>
                <c:pt idx="60">
                  <c:v>8700</c:v>
                </c:pt>
                <c:pt idx="61">
                  <c:v>9100</c:v>
                </c:pt>
                <c:pt idx="62">
                  <c:v>9800</c:v>
                </c:pt>
                <c:pt idx="63">
                  <c:v>10300</c:v>
                </c:pt>
                <c:pt idx="64">
                  <c:v>11200</c:v>
                </c:pt>
                <c:pt idx="65">
                  <c:v>11800</c:v>
                </c:pt>
                <c:pt idx="66">
                  <c:v>12100</c:v>
                </c:pt>
                <c:pt idx="67">
                  <c:v>12600</c:v>
                </c:pt>
                <c:pt idx="68">
                  <c:v>13400</c:v>
                </c:pt>
                <c:pt idx="69">
                  <c:v>15000</c:v>
                </c:pt>
                <c:pt idx="70">
                  <c:v>13200</c:v>
                </c:pt>
                <c:pt idx="71">
                  <c:v>14700</c:v>
                </c:pt>
                <c:pt idx="72">
                  <c:v>15900</c:v>
                </c:pt>
                <c:pt idx="73">
                  <c:v>16400</c:v>
                </c:pt>
                <c:pt idx="74">
                  <c:v>17100</c:v>
                </c:pt>
                <c:pt idx="75">
                  <c:v>17600</c:v>
                </c:pt>
                <c:pt idx="76">
                  <c:v>18300</c:v>
                </c:pt>
                <c:pt idx="77">
                  <c:v>19100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B-4748-A981-76A33E7A6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64263"/>
        <c:axId val="279425031"/>
      </c:scatterChart>
      <c:valAx>
        <c:axId val="237664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25031"/>
        <c:crosses val="autoZero"/>
        <c:crossBetween val="midCat"/>
      </c:valAx>
      <c:valAx>
        <c:axId val="27942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664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promotional_discount_percentage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'Whole Data'!E2:E79</c:f>
              <c:numCache>
                <c:formatCode>General</c:formatCode>
                <c:ptCount val="78"/>
                <c:pt idx="0">
                  <c:v>610</c:v>
                </c:pt>
                <c:pt idx="1">
                  <c:v>980</c:v>
                </c:pt>
                <c:pt idx="2">
                  <c:v>880</c:v>
                </c:pt>
                <c:pt idx="3">
                  <c:v>1020</c:v>
                </c:pt>
                <c:pt idx="4">
                  <c:v>940</c:v>
                </c:pt>
                <c:pt idx="5">
                  <c:v>1080</c:v>
                </c:pt>
                <c:pt idx="6">
                  <c:v>900</c:v>
                </c:pt>
                <c:pt idx="7">
                  <c:v>1010</c:v>
                </c:pt>
                <c:pt idx="8">
                  <c:v>970</c:v>
                </c:pt>
                <c:pt idx="9">
                  <c:v>1120</c:v>
                </c:pt>
                <c:pt idx="10">
                  <c:v>920</c:v>
                </c:pt>
                <c:pt idx="11">
                  <c:v>1040</c:v>
                </c:pt>
                <c:pt idx="12">
                  <c:v>950</c:v>
                </c:pt>
                <c:pt idx="13">
                  <c:v>1090</c:v>
                </c:pt>
                <c:pt idx="14">
                  <c:v>960</c:v>
                </c:pt>
                <c:pt idx="15">
                  <c:v>1150</c:v>
                </c:pt>
                <c:pt idx="16">
                  <c:v>990</c:v>
                </c:pt>
                <c:pt idx="17">
                  <c:v>1180</c:v>
                </c:pt>
                <c:pt idx="18">
                  <c:v>1000</c:v>
                </c:pt>
                <c:pt idx="19">
                  <c:v>1200</c:v>
                </c:pt>
                <c:pt idx="20">
                  <c:v>780</c:v>
                </c:pt>
                <c:pt idx="21">
                  <c:v>670</c:v>
                </c:pt>
                <c:pt idx="22">
                  <c:v>720</c:v>
                </c:pt>
                <c:pt idx="23">
                  <c:v>640</c:v>
                </c:pt>
                <c:pt idx="24">
                  <c:v>810</c:v>
                </c:pt>
                <c:pt idx="25">
                  <c:v>690</c:v>
                </c:pt>
                <c:pt idx="26">
                  <c:v>740</c:v>
                </c:pt>
                <c:pt idx="27">
                  <c:v>660</c:v>
                </c:pt>
                <c:pt idx="28">
                  <c:v>820</c:v>
                </c:pt>
                <c:pt idx="29">
                  <c:v>700</c:v>
                </c:pt>
                <c:pt idx="30">
                  <c:v>770</c:v>
                </c:pt>
                <c:pt idx="31">
                  <c:v>710</c:v>
                </c:pt>
                <c:pt idx="32">
                  <c:v>800</c:v>
                </c:pt>
                <c:pt idx="33">
                  <c:v>730</c:v>
                </c:pt>
                <c:pt idx="34">
                  <c:v>830</c:v>
                </c:pt>
                <c:pt idx="35">
                  <c:v>750</c:v>
                </c:pt>
                <c:pt idx="36">
                  <c:v>840</c:v>
                </c:pt>
                <c:pt idx="37">
                  <c:v>760</c:v>
                </c:pt>
                <c:pt idx="38">
                  <c:v>850</c:v>
                </c:pt>
                <c:pt idx="39">
                  <c:v>420</c:v>
                </c:pt>
                <c:pt idx="40">
                  <c:v>520</c:v>
                </c:pt>
                <c:pt idx="41">
                  <c:v>470</c:v>
                </c:pt>
                <c:pt idx="42">
                  <c:v>560</c:v>
                </c:pt>
                <c:pt idx="43">
                  <c:v>480</c:v>
                </c:pt>
                <c:pt idx="44">
                  <c:v>510</c:v>
                </c:pt>
                <c:pt idx="45">
                  <c:v>460</c:v>
                </c:pt>
                <c:pt idx="46">
                  <c:v>540</c:v>
                </c:pt>
                <c:pt idx="47">
                  <c:v>490</c:v>
                </c:pt>
                <c:pt idx="48">
                  <c:v>530</c:v>
                </c:pt>
                <c:pt idx="49">
                  <c:v>500</c:v>
                </c:pt>
                <c:pt idx="50">
                  <c:v>550</c:v>
                </c:pt>
                <c:pt idx="51">
                  <c:v>510</c:v>
                </c:pt>
                <c:pt idx="52">
                  <c:v>570</c:v>
                </c:pt>
                <c:pt idx="53">
                  <c:v>540</c:v>
                </c:pt>
                <c:pt idx="54">
                  <c:v>580</c:v>
                </c:pt>
                <c:pt idx="55">
                  <c:v>560</c:v>
                </c:pt>
                <c:pt idx="56">
                  <c:v>600</c:v>
                </c:pt>
                <c:pt idx="57">
                  <c:v>560</c:v>
                </c:pt>
                <c:pt idx="58">
                  <c:v>620</c:v>
                </c:pt>
                <c:pt idx="59">
                  <c:v>210</c:v>
                </c:pt>
                <c:pt idx="60">
                  <c:v>180</c:v>
                </c:pt>
                <c:pt idx="61">
                  <c:v>200</c:v>
                </c:pt>
                <c:pt idx="62">
                  <c:v>230</c:v>
                </c:pt>
                <c:pt idx="63">
                  <c:v>250</c:v>
                </c:pt>
                <c:pt idx="64">
                  <c:v>270</c:v>
                </c:pt>
                <c:pt idx="65">
                  <c:v>280</c:v>
                </c:pt>
                <c:pt idx="66">
                  <c:v>300</c:v>
                </c:pt>
                <c:pt idx="67">
                  <c:v>310</c:v>
                </c:pt>
                <c:pt idx="68">
                  <c:v>320</c:v>
                </c:pt>
                <c:pt idx="69">
                  <c:v>340</c:v>
                </c:pt>
                <c:pt idx="70">
                  <c:v>290</c:v>
                </c:pt>
                <c:pt idx="71">
                  <c:v>320</c:v>
                </c:pt>
                <c:pt idx="72">
                  <c:v>350</c:v>
                </c:pt>
                <c:pt idx="73">
                  <c:v>360</c:v>
                </c:pt>
                <c:pt idx="74">
                  <c:v>380</c:v>
                </c:pt>
                <c:pt idx="75">
                  <c:v>390</c:v>
                </c:pt>
                <c:pt idx="76">
                  <c:v>410</c:v>
                </c:pt>
                <c:pt idx="77">
                  <c:v>430</c:v>
                </c:pt>
              </c:numCache>
            </c:numRef>
          </c:xVal>
          <c:yVal>
            <c:numRef>
              <c:f>'Whole Data'!A2:A79</c:f>
              <c:numCache>
                <c:formatCode>General</c:formatCode>
                <c:ptCount val="78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  <c:pt idx="20">
                  <c:v>31200</c:v>
                </c:pt>
                <c:pt idx="21">
                  <c:v>27800</c:v>
                </c:pt>
                <c:pt idx="22">
                  <c:v>29600</c:v>
                </c:pt>
                <c:pt idx="23">
                  <c:v>26800</c:v>
                </c:pt>
                <c:pt idx="24">
                  <c:v>32400</c:v>
                </c:pt>
                <c:pt idx="25">
                  <c:v>28300</c:v>
                </c:pt>
                <c:pt idx="26">
                  <c:v>30500</c:v>
                </c:pt>
                <c:pt idx="27">
                  <c:v>27400</c:v>
                </c:pt>
                <c:pt idx="28">
                  <c:v>33200</c:v>
                </c:pt>
                <c:pt idx="29">
                  <c:v>28900</c:v>
                </c:pt>
                <c:pt idx="30">
                  <c:v>31400</c:v>
                </c:pt>
                <c:pt idx="31">
                  <c:v>29400</c:v>
                </c:pt>
                <c:pt idx="32">
                  <c:v>32700</c:v>
                </c:pt>
                <c:pt idx="33">
                  <c:v>30100</c:v>
                </c:pt>
                <c:pt idx="34">
                  <c:v>33800</c:v>
                </c:pt>
                <c:pt idx="35">
                  <c:v>30900</c:v>
                </c:pt>
                <c:pt idx="36">
                  <c:v>34300</c:v>
                </c:pt>
                <c:pt idx="37">
                  <c:v>31600</c:v>
                </c:pt>
                <c:pt idx="38">
                  <c:v>35100</c:v>
                </c:pt>
                <c:pt idx="39">
                  <c:v>18200</c:v>
                </c:pt>
                <c:pt idx="40">
                  <c:v>22400</c:v>
                </c:pt>
                <c:pt idx="41">
                  <c:v>19800</c:v>
                </c:pt>
                <c:pt idx="42">
                  <c:v>24300</c:v>
                </c:pt>
                <c:pt idx="43">
                  <c:v>20700</c:v>
                </c:pt>
                <c:pt idx="44">
                  <c:v>22100</c:v>
                </c:pt>
                <c:pt idx="45">
                  <c:v>20500</c:v>
                </c:pt>
                <c:pt idx="46">
                  <c:v>23600</c:v>
                </c:pt>
                <c:pt idx="47">
                  <c:v>21200</c:v>
                </c:pt>
                <c:pt idx="48">
                  <c:v>22800</c:v>
                </c:pt>
                <c:pt idx="49">
                  <c:v>21800</c:v>
                </c:pt>
                <c:pt idx="50">
                  <c:v>24100</c:v>
                </c:pt>
                <c:pt idx="51">
                  <c:v>22300</c:v>
                </c:pt>
                <c:pt idx="52">
                  <c:v>24900</c:v>
                </c:pt>
                <c:pt idx="53">
                  <c:v>23200</c:v>
                </c:pt>
                <c:pt idx="54">
                  <c:v>25400</c:v>
                </c:pt>
                <c:pt idx="55">
                  <c:v>23700</c:v>
                </c:pt>
                <c:pt idx="56">
                  <c:v>26100</c:v>
                </c:pt>
                <c:pt idx="57">
                  <c:v>24400</c:v>
                </c:pt>
                <c:pt idx="58">
                  <c:v>26800</c:v>
                </c:pt>
                <c:pt idx="59">
                  <c:v>9400</c:v>
                </c:pt>
                <c:pt idx="60">
                  <c:v>8700</c:v>
                </c:pt>
                <c:pt idx="61">
                  <c:v>9100</c:v>
                </c:pt>
                <c:pt idx="62">
                  <c:v>9800</c:v>
                </c:pt>
                <c:pt idx="63">
                  <c:v>10300</c:v>
                </c:pt>
                <c:pt idx="64">
                  <c:v>11200</c:v>
                </c:pt>
                <c:pt idx="65">
                  <c:v>11800</c:v>
                </c:pt>
                <c:pt idx="66">
                  <c:v>12100</c:v>
                </c:pt>
                <c:pt idx="67">
                  <c:v>12600</c:v>
                </c:pt>
                <c:pt idx="68">
                  <c:v>13400</c:v>
                </c:pt>
                <c:pt idx="69">
                  <c:v>15000</c:v>
                </c:pt>
                <c:pt idx="70">
                  <c:v>13200</c:v>
                </c:pt>
                <c:pt idx="71">
                  <c:v>14700</c:v>
                </c:pt>
                <c:pt idx="72">
                  <c:v>15900</c:v>
                </c:pt>
                <c:pt idx="73">
                  <c:v>16400</c:v>
                </c:pt>
                <c:pt idx="74">
                  <c:v>17100</c:v>
                </c:pt>
                <c:pt idx="75">
                  <c:v>17600</c:v>
                </c:pt>
                <c:pt idx="76">
                  <c:v>18300</c:v>
                </c:pt>
                <c:pt idx="77">
                  <c:v>19100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E-4309-AC92-0FB0BFAD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64263"/>
        <c:axId val="279425031"/>
      </c:scatterChart>
      <c:valAx>
        <c:axId val="237664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25031"/>
        <c:crosses val="autoZero"/>
        <c:crossBetween val="midCat"/>
      </c:valAx>
      <c:valAx>
        <c:axId val="27942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664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advertising_budget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Residential!C3:C22</c:f>
              <c:numCache>
                <c:formatCode>General</c:formatCode>
                <c:ptCount val="20"/>
                <c:pt idx="0">
                  <c:v>1200</c:v>
                </c:pt>
                <c:pt idx="1">
                  <c:v>1800</c:v>
                </c:pt>
                <c:pt idx="2">
                  <c:v>1400</c:v>
                </c:pt>
                <c:pt idx="3">
                  <c:v>2100</c:v>
                </c:pt>
                <c:pt idx="4">
                  <c:v>1600</c:v>
                </c:pt>
                <c:pt idx="5">
                  <c:v>1700</c:v>
                </c:pt>
                <c:pt idx="6">
                  <c:v>1500</c:v>
                </c:pt>
                <c:pt idx="7">
                  <c:v>2000</c:v>
                </c:pt>
                <c:pt idx="8">
                  <c:v>1550</c:v>
                </c:pt>
                <c:pt idx="9">
                  <c:v>1900</c:v>
                </c:pt>
                <c:pt idx="10">
                  <c:v>1650</c:v>
                </c:pt>
                <c:pt idx="11">
                  <c:v>2050</c:v>
                </c:pt>
                <c:pt idx="12">
                  <c:v>1750</c:v>
                </c:pt>
                <c:pt idx="13">
                  <c:v>2150</c:v>
                </c:pt>
                <c:pt idx="14">
                  <c:v>1850</c:v>
                </c:pt>
                <c:pt idx="15">
                  <c:v>2200</c:v>
                </c:pt>
                <c:pt idx="16">
                  <c:v>1950</c:v>
                </c:pt>
                <c:pt idx="17">
                  <c:v>2300</c:v>
                </c:pt>
                <c:pt idx="18">
                  <c:v>2050</c:v>
                </c:pt>
                <c:pt idx="19">
                  <c:v>2400</c:v>
                </c:pt>
              </c:numCache>
            </c:numRef>
          </c:xVal>
          <c:yVal>
            <c:numRef>
              <c:f>Residential!B3:B22</c:f>
              <c:numCache>
                <c:formatCode>General</c:formatCode>
                <c:ptCount val="20"/>
                <c:pt idx="0">
                  <c:v>18200</c:v>
                </c:pt>
                <c:pt idx="1">
                  <c:v>22400</c:v>
                </c:pt>
                <c:pt idx="2">
                  <c:v>19800</c:v>
                </c:pt>
                <c:pt idx="3">
                  <c:v>24300</c:v>
                </c:pt>
                <c:pt idx="4">
                  <c:v>20700</c:v>
                </c:pt>
                <c:pt idx="5">
                  <c:v>22100</c:v>
                </c:pt>
                <c:pt idx="6">
                  <c:v>20500</c:v>
                </c:pt>
                <c:pt idx="7">
                  <c:v>23600</c:v>
                </c:pt>
                <c:pt idx="8">
                  <c:v>21200</c:v>
                </c:pt>
                <c:pt idx="9">
                  <c:v>22800</c:v>
                </c:pt>
                <c:pt idx="10">
                  <c:v>21800</c:v>
                </c:pt>
                <c:pt idx="11">
                  <c:v>24100</c:v>
                </c:pt>
                <c:pt idx="12">
                  <c:v>22300</c:v>
                </c:pt>
                <c:pt idx="13">
                  <c:v>24900</c:v>
                </c:pt>
                <c:pt idx="14">
                  <c:v>23200</c:v>
                </c:pt>
                <c:pt idx="15">
                  <c:v>25400</c:v>
                </c:pt>
                <c:pt idx="16">
                  <c:v>23700</c:v>
                </c:pt>
                <c:pt idx="17">
                  <c:v>26100</c:v>
                </c:pt>
                <c:pt idx="18">
                  <c:v>24400</c:v>
                </c:pt>
                <c:pt idx="19">
                  <c:v>26800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AA-4ED2-9B9D-46975729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480264"/>
        <c:axId val="2147129864"/>
      </c:scatterChart>
      <c:valAx>
        <c:axId val="196048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29864"/>
        <c:crosses val="autoZero"/>
        <c:crossBetween val="midCat"/>
      </c:valAx>
      <c:valAx>
        <c:axId val="214712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80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social_media_posts_per_week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Residential!D3:D22</c:f>
              <c:numCache>
                <c:formatCode>General</c:formatCode>
                <c:ptCount val="2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9</c:v>
                </c:pt>
                <c:pt idx="12">
                  <c:v>8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11</c:v>
                </c:pt>
              </c:numCache>
            </c:numRef>
          </c:xVal>
          <c:yVal>
            <c:numRef>
              <c:f>Residential!B3:B22</c:f>
              <c:numCache>
                <c:formatCode>General</c:formatCode>
                <c:ptCount val="20"/>
                <c:pt idx="0">
                  <c:v>18200</c:v>
                </c:pt>
                <c:pt idx="1">
                  <c:v>22400</c:v>
                </c:pt>
                <c:pt idx="2">
                  <c:v>19800</c:v>
                </c:pt>
                <c:pt idx="3">
                  <c:v>24300</c:v>
                </c:pt>
                <c:pt idx="4">
                  <c:v>20700</c:v>
                </c:pt>
                <c:pt idx="5">
                  <c:v>22100</c:v>
                </c:pt>
                <c:pt idx="6">
                  <c:v>20500</c:v>
                </c:pt>
                <c:pt idx="7">
                  <c:v>23600</c:v>
                </c:pt>
                <c:pt idx="8">
                  <c:v>21200</c:v>
                </c:pt>
                <c:pt idx="9">
                  <c:v>22800</c:v>
                </c:pt>
                <c:pt idx="10">
                  <c:v>21800</c:v>
                </c:pt>
                <c:pt idx="11">
                  <c:v>24100</c:v>
                </c:pt>
                <c:pt idx="12">
                  <c:v>22300</c:v>
                </c:pt>
                <c:pt idx="13">
                  <c:v>24900</c:v>
                </c:pt>
                <c:pt idx="14">
                  <c:v>23200</c:v>
                </c:pt>
                <c:pt idx="15">
                  <c:v>25400</c:v>
                </c:pt>
                <c:pt idx="16">
                  <c:v>23700</c:v>
                </c:pt>
                <c:pt idx="17">
                  <c:v>26100</c:v>
                </c:pt>
                <c:pt idx="18">
                  <c:v>24400</c:v>
                </c:pt>
                <c:pt idx="19">
                  <c:v>26800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C-4CCE-AF8E-963BE44A9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480264"/>
        <c:axId val="2147129864"/>
      </c:scatterChart>
      <c:valAx>
        <c:axId val="196048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29864"/>
        <c:crosses val="autoZero"/>
        <c:crossBetween val="midCat"/>
      </c:valAx>
      <c:valAx>
        <c:axId val="214712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80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promotional_discount_percentage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Residential!E3:E22</c:f>
              <c:numCache>
                <c:formatCode>General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9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</c:numCache>
            </c:numRef>
          </c:xVal>
          <c:yVal>
            <c:numRef>
              <c:f>Residential!B3:B22</c:f>
              <c:numCache>
                <c:formatCode>General</c:formatCode>
                <c:ptCount val="20"/>
                <c:pt idx="0">
                  <c:v>18200</c:v>
                </c:pt>
                <c:pt idx="1">
                  <c:v>22400</c:v>
                </c:pt>
                <c:pt idx="2">
                  <c:v>19800</c:v>
                </c:pt>
                <c:pt idx="3">
                  <c:v>24300</c:v>
                </c:pt>
                <c:pt idx="4">
                  <c:v>20700</c:v>
                </c:pt>
                <c:pt idx="5">
                  <c:v>22100</c:v>
                </c:pt>
                <c:pt idx="6">
                  <c:v>20500</c:v>
                </c:pt>
                <c:pt idx="7">
                  <c:v>23600</c:v>
                </c:pt>
                <c:pt idx="8">
                  <c:v>21200</c:v>
                </c:pt>
                <c:pt idx="9">
                  <c:v>22800</c:v>
                </c:pt>
                <c:pt idx="10">
                  <c:v>21800</c:v>
                </c:pt>
                <c:pt idx="11">
                  <c:v>24100</c:v>
                </c:pt>
                <c:pt idx="12">
                  <c:v>22300</c:v>
                </c:pt>
                <c:pt idx="13">
                  <c:v>24900</c:v>
                </c:pt>
                <c:pt idx="14">
                  <c:v>23200</c:v>
                </c:pt>
                <c:pt idx="15">
                  <c:v>25400</c:v>
                </c:pt>
                <c:pt idx="16">
                  <c:v>23700</c:v>
                </c:pt>
                <c:pt idx="17">
                  <c:v>26100</c:v>
                </c:pt>
                <c:pt idx="18">
                  <c:v>24400</c:v>
                </c:pt>
                <c:pt idx="19">
                  <c:v>26800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3-484E-93E8-BEB14FCD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174344"/>
        <c:axId val="964176392"/>
      </c:scatterChart>
      <c:valAx>
        <c:axId val="96417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176392"/>
        <c:crosses val="autoZero"/>
        <c:crossBetween val="midCat"/>
      </c:valAx>
      <c:valAx>
        <c:axId val="96417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174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monthly_sales_revenue vs customer_visits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Residential!F3:F22</c:f>
              <c:numCache>
                <c:formatCode>General</c:formatCode>
                <c:ptCount val="20"/>
                <c:pt idx="0">
                  <c:v>420</c:v>
                </c:pt>
                <c:pt idx="1">
                  <c:v>520</c:v>
                </c:pt>
                <c:pt idx="2">
                  <c:v>470</c:v>
                </c:pt>
                <c:pt idx="3">
                  <c:v>560</c:v>
                </c:pt>
                <c:pt idx="4">
                  <c:v>480</c:v>
                </c:pt>
                <c:pt idx="5">
                  <c:v>510</c:v>
                </c:pt>
                <c:pt idx="6">
                  <c:v>460</c:v>
                </c:pt>
                <c:pt idx="7">
                  <c:v>540</c:v>
                </c:pt>
                <c:pt idx="8">
                  <c:v>490</c:v>
                </c:pt>
                <c:pt idx="9">
                  <c:v>530</c:v>
                </c:pt>
                <c:pt idx="10">
                  <c:v>500</c:v>
                </c:pt>
                <c:pt idx="11">
                  <c:v>550</c:v>
                </c:pt>
                <c:pt idx="12">
                  <c:v>510</c:v>
                </c:pt>
                <c:pt idx="13">
                  <c:v>570</c:v>
                </c:pt>
                <c:pt idx="14">
                  <c:v>540</c:v>
                </c:pt>
                <c:pt idx="15">
                  <c:v>580</c:v>
                </c:pt>
                <c:pt idx="16">
                  <c:v>560</c:v>
                </c:pt>
                <c:pt idx="17">
                  <c:v>600</c:v>
                </c:pt>
                <c:pt idx="18">
                  <c:v>560</c:v>
                </c:pt>
                <c:pt idx="19">
                  <c:v>620</c:v>
                </c:pt>
              </c:numCache>
            </c:numRef>
          </c:xVal>
          <c:yVal>
            <c:numRef>
              <c:f>Residential!B3:B22</c:f>
              <c:numCache>
                <c:formatCode>General</c:formatCode>
                <c:ptCount val="20"/>
                <c:pt idx="0">
                  <c:v>18200</c:v>
                </c:pt>
                <c:pt idx="1">
                  <c:v>22400</c:v>
                </c:pt>
                <c:pt idx="2">
                  <c:v>19800</c:v>
                </c:pt>
                <c:pt idx="3">
                  <c:v>24300</c:v>
                </c:pt>
                <c:pt idx="4">
                  <c:v>20700</c:v>
                </c:pt>
                <c:pt idx="5">
                  <c:v>22100</c:v>
                </c:pt>
                <c:pt idx="6">
                  <c:v>20500</c:v>
                </c:pt>
                <c:pt idx="7">
                  <c:v>23600</c:v>
                </c:pt>
                <c:pt idx="8">
                  <c:v>21200</c:v>
                </c:pt>
                <c:pt idx="9">
                  <c:v>22800</c:v>
                </c:pt>
                <c:pt idx="10">
                  <c:v>21800</c:v>
                </c:pt>
                <c:pt idx="11">
                  <c:v>24100</c:v>
                </c:pt>
                <c:pt idx="12">
                  <c:v>22300</c:v>
                </c:pt>
                <c:pt idx="13">
                  <c:v>24900</c:v>
                </c:pt>
                <c:pt idx="14">
                  <c:v>23200</c:v>
                </c:pt>
                <c:pt idx="15">
                  <c:v>25400</c:v>
                </c:pt>
                <c:pt idx="16">
                  <c:v>23700</c:v>
                </c:pt>
                <c:pt idx="17">
                  <c:v>26100</c:v>
                </c:pt>
                <c:pt idx="18">
                  <c:v>24400</c:v>
                </c:pt>
                <c:pt idx="19">
                  <c:v>26800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5-42C1-942B-C5936361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627464"/>
        <c:axId val="964830216"/>
      </c:scatterChart>
      <c:valAx>
        <c:axId val="96462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30216"/>
        <c:crosses val="autoZero"/>
        <c:crossBetween val="midCat"/>
      </c:valAx>
      <c:valAx>
        <c:axId val="96483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27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advertising_budget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'City Center'!C3:C22</c:f>
              <c:numCache>
                <c:formatCode>General</c:formatCode>
                <c:ptCount val="20"/>
                <c:pt idx="0">
                  <c:v>2500</c:v>
                </c:pt>
                <c:pt idx="1">
                  <c:v>6000</c:v>
                </c:pt>
                <c:pt idx="2">
                  <c:v>5200</c:v>
                </c:pt>
                <c:pt idx="3">
                  <c:v>6500</c:v>
                </c:pt>
                <c:pt idx="4">
                  <c:v>5700</c:v>
                </c:pt>
                <c:pt idx="5">
                  <c:v>7200</c:v>
                </c:pt>
                <c:pt idx="6">
                  <c:v>5400</c:v>
                </c:pt>
                <c:pt idx="7">
                  <c:v>6800</c:v>
                </c:pt>
                <c:pt idx="8">
                  <c:v>6100</c:v>
                </c:pt>
                <c:pt idx="9">
                  <c:v>7600</c:v>
                </c:pt>
                <c:pt idx="10">
                  <c:v>5600</c:v>
                </c:pt>
                <c:pt idx="11">
                  <c:v>7000</c:v>
                </c:pt>
                <c:pt idx="12">
                  <c:v>5800</c:v>
                </c:pt>
                <c:pt idx="13">
                  <c:v>7300</c:v>
                </c:pt>
                <c:pt idx="14">
                  <c:v>6000</c:v>
                </c:pt>
                <c:pt idx="15">
                  <c:v>7800</c:v>
                </c:pt>
                <c:pt idx="16">
                  <c:v>6200</c:v>
                </c:pt>
                <c:pt idx="17">
                  <c:v>8200</c:v>
                </c:pt>
                <c:pt idx="18">
                  <c:v>6400</c:v>
                </c:pt>
                <c:pt idx="19">
                  <c:v>8500</c:v>
                </c:pt>
              </c:numCache>
            </c:numRef>
          </c:xVal>
          <c:yVal>
            <c:numRef>
              <c:f>'City Center'!$B$3:$B$22</c:f>
              <c:numCache>
                <c:formatCode>General</c:formatCode>
                <c:ptCount val="20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D-4F5B-9E43-E930D3935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203208"/>
        <c:axId val="273205256"/>
      </c:scatterChart>
      <c:valAx>
        <c:axId val="27320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05256"/>
        <c:crosses val="autoZero"/>
        <c:crossBetween val="midCat"/>
      </c:valAx>
      <c:valAx>
        <c:axId val="27320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03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social_media_posts_per_week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'City Center'!D3:D22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18</c:v>
                </c:pt>
                <c:pt idx="3">
                  <c:v>21</c:v>
                </c:pt>
                <c:pt idx="4">
                  <c:v>19</c:v>
                </c:pt>
                <c:pt idx="5">
                  <c:v>23</c:v>
                </c:pt>
                <c:pt idx="6">
                  <c:v>18</c:v>
                </c:pt>
                <c:pt idx="7">
                  <c:v>22</c:v>
                </c:pt>
                <c:pt idx="8">
                  <c:v>20</c:v>
                </c:pt>
                <c:pt idx="9">
                  <c:v>24</c:v>
                </c:pt>
                <c:pt idx="10">
                  <c:v>19</c:v>
                </c:pt>
                <c:pt idx="11">
                  <c:v>22</c:v>
                </c:pt>
                <c:pt idx="12">
                  <c:v>19</c:v>
                </c:pt>
                <c:pt idx="13">
                  <c:v>23</c:v>
                </c:pt>
                <c:pt idx="14">
                  <c:v>20</c:v>
                </c:pt>
                <c:pt idx="15">
                  <c:v>25</c:v>
                </c:pt>
                <c:pt idx="16">
                  <c:v>21</c:v>
                </c:pt>
                <c:pt idx="17">
                  <c:v>26</c:v>
                </c:pt>
                <c:pt idx="18">
                  <c:v>21</c:v>
                </c:pt>
                <c:pt idx="19">
                  <c:v>27</c:v>
                </c:pt>
              </c:numCache>
            </c:numRef>
          </c:xVal>
          <c:yVal>
            <c:numRef>
              <c:f>'City Center'!B3:B22</c:f>
              <c:numCache>
                <c:formatCode>General</c:formatCode>
                <c:ptCount val="20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9-4D9F-BC8D-2B70F854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745351"/>
        <c:axId val="1746747399"/>
      </c:scatterChart>
      <c:valAx>
        <c:axId val="1746745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47399"/>
        <c:crosses val="autoZero"/>
        <c:crossBetween val="midCat"/>
      </c:valAx>
      <c:valAx>
        <c:axId val="174674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45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promotional_discount_percentage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'City Center'!E3:E22</c:f>
              <c:numCache>
                <c:formatCode>General</c:formatCode>
                <c:ptCount val="20"/>
                <c:pt idx="0">
                  <c:v>12</c:v>
                </c:pt>
                <c:pt idx="1">
                  <c:v>15</c:v>
                </c:pt>
                <c:pt idx="2">
                  <c:v>13</c:v>
                </c:pt>
                <c:pt idx="3">
                  <c:v>14</c:v>
                </c:pt>
                <c:pt idx="4">
                  <c:v>12</c:v>
                </c:pt>
                <c:pt idx="5">
                  <c:v>16</c:v>
                </c:pt>
                <c:pt idx="6">
                  <c:v>12</c:v>
                </c:pt>
                <c:pt idx="7">
                  <c:v>15</c:v>
                </c:pt>
                <c:pt idx="8">
                  <c:v>13</c:v>
                </c:pt>
                <c:pt idx="9">
                  <c:v>17</c:v>
                </c:pt>
                <c:pt idx="10">
                  <c:v>13</c:v>
                </c:pt>
                <c:pt idx="11">
                  <c:v>16</c:v>
                </c:pt>
                <c:pt idx="12">
                  <c:v>12</c:v>
                </c:pt>
                <c:pt idx="13">
                  <c:v>16</c:v>
                </c:pt>
                <c:pt idx="14">
                  <c:v>13</c:v>
                </c:pt>
                <c:pt idx="15">
                  <c:v>18</c:v>
                </c:pt>
                <c:pt idx="16">
                  <c:v>14</c:v>
                </c:pt>
                <c:pt idx="17">
                  <c:v>19</c:v>
                </c:pt>
                <c:pt idx="18">
                  <c:v>14</c:v>
                </c:pt>
                <c:pt idx="19">
                  <c:v>20</c:v>
                </c:pt>
              </c:numCache>
            </c:numRef>
          </c:xVal>
          <c:yVal>
            <c:numRef>
              <c:f>'City Center'!B3:B22</c:f>
              <c:numCache>
                <c:formatCode>General</c:formatCode>
                <c:ptCount val="20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1-4272-864C-EFDF336D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793991"/>
        <c:axId val="1746796039"/>
      </c:scatterChart>
      <c:valAx>
        <c:axId val="1746793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96039"/>
        <c:crosses val="autoZero"/>
        <c:crossBetween val="midCat"/>
      </c:valAx>
      <c:valAx>
        <c:axId val="1746796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93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'City Center'!F3:F22</c:f>
              <c:numCache>
                <c:formatCode>General</c:formatCode>
                <c:ptCount val="20"/>
                <c:pt idx="0">
                  <c:v>610</c:v>
                </c:pt>
                <c:pt idx="1">
                  <c:v>980</c:v>
                </c:pt>
                <c:pt idx="2">
                  <c:v>880</c:v>
                </c:pt>
                <c:pt idx="3">
                  <c:v>1020</c:v>
                </c:pt>
                <c:pt idx="4">
                  <c:v>940</c:v>
                </c:pt>
                <c:pt idx="5">
                  <c:v>1080</c:v>
                </c:pt>
                <c:pt idx="6">
                  <c:v>900</c:v>
                </c:pt>
                <c:pt idx="7">
                  <c:v>1010</c:v>
                </c:pt>
                <c:pt idx="8">
                  <c:v>970</c:v>
                </c:pt>
                <c:pt idx="9">
                  <c:v>1120</c:v>
                </c:pt>
                <c:pt idx="10">
                  <c:v>920</c:v>
                </c:pt>
                <c:pt idx="11">
                  <c:v>1040</c:v>
                </c:pt>
                <c:pt idx="12">
                  <c:v>950</c:v>
                </c:pt>
                <c:pt idx="13">
                  <c:v>1090</c:v>
                </c:pt>
                <c:pt idx="14">
                  <c:v>960</c:v>
                </c:pt>
                <c:pt idx="15">
                  <c:v>1150</c:v>
                </c:pt>
                <c:pt idx="16">
                  <c:v>990</c:v>
                </c:pt>
                <c:pt idx="17">
                  <c:v>1180</c:v>
                </c:pt>
                <c:pt idx="18">
                  <c:v>1000</c:v>
                </c:pt>
                <c:pt idx="19">
                  <c:v>1200</c:v>
                </c:pt>
              </c:numCache>
            </c:numRef>
          </c:xVal>
          <c:yVal>
            <c:numRef>
              <c:f>'City Center'!B3:B22</c:f>
              <c:numCache>
                <c:formatCode>General</c:formatCode>
                <c:ptCount val="20"/>
                <c:pt idx="0">
                  <c:v>26500</c:v>
                </c:pt>
                <c:pt idx="1">
                  <c:v>40100</c:v>
                </c:pt>
                <c:pt idx="2">
                  <c:v>35700</c:v>
                </c:pt>
                <c:pt idx="3">
                  <c:v>41500</c:v>
                </c:pt>
                <c:pt idx="4">
                  <c:v>38900</c:v>
                </c:pt>
                <c:pt idx="5">
                  <c:v>43200</c:v>
                </c:pt>
                <c:pt idx="6">
                  <c:v>37100</c:v>
                </c:pt>
                <c:pt idx="7">
                  <c:v>41800</c:v>
                </c:pt>
                <c:pt idx="8">
                  <c:v>39600</c:v>
                </c:pt>
                <c:pt idx="9">
                  <c:v>44700</c:v>
                </c:pt>
                <c:pt idx="10">
                  <c:v>37800</c:v>
                </c:pt>
                <c:pt idx="11">
                  <c:v>42600</c:v>
                </c:pt>
                <c:pt idx="12">
                  <c:v>38400</c:v>
                </c:pt>
                <c:pt idx="13">
                  <c:v>43800</c:v>
                </c:pt>
                <c:pt idx="14">
                  <c:v>39200</c:v>
                </c:pt>
                <c:pt idx="15">
                  <c:v>45200</c:v>
                </c:pt>
                <c:pt idx="16">
                  <c:v>40100</c:v>
                </c:pt>
                <c:pt idx="17">
                  <c:v>46800</c:v>
                </c:pt>
                <c:pt idx="18">
                  <c:v>40900</c:v>
                </c:pt>
                <c:pt idx="19">
                  <c:v>47200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0-45F0-8ED5-8B1419173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282056"/>
        <c:axId val="377284104"/>
      </c:scatterChart>
      <c:valAx>
        <c:axId val="37728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84104"/>
        <c:crosses val="autoZero"/>
        <c:crossBetween val="midCat"/>
      </c:valAx>
      <c:valAx>
        <c:axId val="37728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82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clusteredColumn" uniqueId="{00000000-11D1-4EBC-BCD5-D798F3DC014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clusteredColumn" uniqueId="{00000000-9A4F-47E6-9CC2-2895340F27BF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clusteredColumn" uniqueId="{00000000-2092-44D3-A4A2-E6D02A4D9690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clusteredColumn" uniqueId="{00000000-3196-4C80-81EC-B18896C62B9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clusteredColumn" uniqueId="{00000000-7F86-4946-85F6-B9D3DFB60FA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boxWhisker" uniqueId="{00000000-8C02-4592-BFD8-EA7768FD930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boxWhisker" uniqueId="{00000000-D47F-420E-B6AB-4119FADF18B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boxWhisker" uniqueId="{00000000-4DDA-4BA0-9135-7D8B5BA2FFE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boxWhisker" uniqueId="{00000000-4233-4D64-8BBC-1E2C66ED167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boxWhisker" uniqueId="{00000000-6646-4D60-ACE3-47F1B26FF44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clusteredColumn" uniqueId="{00000000-71E2-4D3B-8C5B-F9AA914B7188}">
          <cx:tx>
            <cx:txData>
              <cx:f>_xlchart.v1.10</cx:f>
              <cx:v>monthly_sales_revenue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clusteredColumn" uniqueId="{00000000-F2BA-49C7-9606-A73EB54770A0}">
          <cx:tx>
            <cx:txData>
              <cx:f>_xlchart.v1.12</cx:f>
              <cx:v>advertising_budget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clusteredColumn" uniqueId="{00000000-B32B-4FF2-8186-67312585A101}">
          <cx:tx>
            <cx:txData>
              <cx:f>_xlchart.v1.14</cx:f>
              <cx:v>social_media_posts_per_week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clusteredColumn" uniqueId="{00000000-9D3B-49EE-8B64-CF89B8150E0D}">
          <cx:tx>
            <cx:txData>
              <cx:f>_xlchart.v1.16</cx:f>
              <cx:v>promotional_discount_percentage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clusteredColumn" uniqueId="{00000000-F4A8-4F04-8789-F531E145DEF7}">
          <cx:tx>
            <cx:txData>
              <cx:f>_xlchart.v1.18</cx:f>
              <cx:v>customer_visits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boxWhisker" uniqueId="{00000000-3F46-4C00-BFC2-BE1021D4634B}">
          <cx:tx>
            <cx:txData>
              <cx:f>_xlchart.v1.20</cx:f>
              <cx:v>monthly_sales_revenue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boxWhisker" uniqueId="{00000000-F915-453B-94CC-078891D0445C}">
          <cx:tx>
            <cx:txData>
              <cx:f>_xlchart.v1.22</cx:f>
              <cx:v>advertising_budget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boxWhisker" uniqueId="{00000000-3A32-46F8-BEEA-C425118943B3}">
          <cx:tx>
            <cx:txData>
              <cx:f>_xlchart.v1.24</cx:f>
              <cx:v>social_media_posts_per_week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boxWhisker" uniqueId="{00000000-6E6C-425C-AFB2-2E2CD43B2F57}">
          <cx:tx>
            <cx:txData>
              <cx:f>_xlchart.v1.26</cx:f>
              <cx:v>promotional_discount_percentage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boxWhisker" uniqueId="{00000000-0D65-414E-8697-5CC7FA00C05A}">
          <cx:tx>
            <cx:txData>
              <cx:f>_xlchart.v1.28</cx:f>
              <cx:v>customer_visits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clusteredColumn" uniqueId="{00000000-626C-4211-A518-0F998D6E0C4C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clusteredColumn" uniqueId="{00000000-BA63-4D29-BD72-70ACEB979068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clusteredColumn" uniqueId="{00000000-4B4C-41DB-BAE5-9F4F2F62376A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clusteredColumn" uniqueId="{00000000-A531-4954-AC71-1B9535DAD463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clusteredColumn" uniqueId="{00000000-E8E3-4CA3-9B5D-C4FC39861CAD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boxWhisker" uniqueId="{00000000-D1DD-45FA-B898-1F0C49079D0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boxWhisker" uniqueId="{00000000-1906-4FBE-9698-134F511EA30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boxWhisker" uniqueId="{00000000-60EC-4BE1-BE94-9E1A0F928FB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boxWhisker" uniqueId="{00000000-9FE8-438D-9CD8-3C052482344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boxWhisker" uniqueId="{00000000-7F19-4569-8521-8034D96AF1B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_xlchart.v1.40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clusteredColumn" uniqueId="{00000000-8D39-4563-BEB9-C107E529DC1E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clusteredColumn" uniqueId="{00000000-D5D8-4F5C-BD4C-097C356E55F8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clusteredColumn" uniqueId="{00000000-C14E-495D-B925-6C429A8389BE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clusteredColumn" uniqueId="{00000000-4EC0-4E87-8FBD-C9D8D822552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clusteredColumn" uniqueId="{00000000-7C58-4784-8FF0-70D617296254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</cx:chartData>
  <cx:chart>
    <cx:title pos="t" align="ctr" overlay="0">
      <cx:tx>
        <cx:txData>
          <cx:v>monthly_sales_revenue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monthly_sales_revenue</a:t>
          </a:r>
        </a:p>
      </cx:txPr>
    </cx:title>
    <cx:plotArea>
      <cx:plotAreaRegion>
        <cx:series layoutId="boxWhisker" uniqueId="{00000000-7955-4CF9-B60E-EF8662DA533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</cx:chartData>
  <cx:chart>
    <cx:title pos="t" align="ctr" overlay="0">
      <cx:tx>
        <cx:txData>
          <cx:v>advertising_budget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advertising_budget</a:t>
          </a:r>
        </a:p>
      </cx:txPr>
    </cx:title>
    <cx:plotArea>
      <cx:plotAreaRegion>
        <cx:series layoutId="boxWhisker" uniqueId="{00000000-D17C-4FB6-A8C0-90E00116D19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title pos="t" align="ctr" overlay="0">
      <cx:tx>
        <cx:txData>
          <cx:v>social_media_posts_per_week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social_media_posts_per_week</a:t>
          </a:r>
        </a:p>
      </cx:txPr>
    </cx:title>
    <cx:plotArea>
      <cx:plotAreaRegion>
        <cx:series layoutId="boxWhisker" uniqueId="{00000000-D719-40E4-96FE-193FB990F14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</cx:chartData>
  <cx:chart>
    <cx:title pos="t" align="ctr" overlay="0">
      <cx:tx>
        <cx:txData>
          <cx:v>promotional_discount_percentage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promotional_discount_percentage</a:t>
          </a:r>
        </a:p>
      </cx:txPr>
    </cx:title>
    <cx:plotArea>
      <cx:plotAreaRegion>
        <cx:series layoutId="boxWhisker" uniqueId="{00000000-6DC9-4D48-A50D-9B941C143FF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title pos="t" align="ctr" overlay="0">
      <cx:tx>
        <cx:txData>
          <cx:v>customer_visits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customer_visits</a:t>
          </a:r>
        </a:p>
      </cx:txPr>
    </cx:title>
    <cx:plotArea>
      <cx:plotAreaRegion>
        <cx:series layoutId="boxWhisker" uniqueId="{00000000-266A-4DCF-953F-1729CB59BA5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13" Type="http://schemas.openxmlformats.org/officeDocument/2006/relationships/chart" Target="../charts/chart3.xml"/><Relationship Id="rId3" Type="http://schemas.microsoft.com/office/2014/relationships/chartEx" Target="../charts/chartEx3.xml"/><Relationship Id="rId7" Type="http://schemas.openxmlformats.org/officeDocument/2006/relationships/chart" Target="../charts/chart2.xml"/><Relationship Id="rId12" Type="http://schemas.microsoft.com/office/2014/relationships/chartEx" Target="../charts/chartEx10.xml"/><Relationship Id="rId2" Type="http://schemas.microsoft.com/office/2014/relationships/chartEx" Target="../charts/chartEx2.xml"/><Relationship Id="rId16" Type="http://schemas.openxmlformats.org/officeDocument/2006/relationships/chart" Target="../charts/chart6.xml"/><Relationship Id="rId1" Type="http://schemas.microsoft.com/office/2014/relationships/chartEx" Target="../charts/chartEx1.xml"/><Relationship Id="rId6" Type="http://schemas.openxmlformats.org/officeDocument/2006/relationships/chart" Target="../charts/chart1.xml"/><Relationship Id="rId11" Type="http://schemas.microsoft.com/office/2014/relationships/chartEx" Target="../charts/chartEx9.xml"/><Relationship Id="rId5" Type="http://schemas.microsoft.com/office/2014/relationships/chartEx" Target="../charts/chartEx5.xml"/><Relationship Id="rId15" Type="http://schemas.openxmlformats.org/officeDocument/2006/relationships/chart" Target="../charts/chart5.xml"/><Relationship Id="rId10" Type="http://schemas.microsoft.com/office/2014/relationships/chartEx" Target="../charts/chartEx8.xml"/><Relationship Id="rId4" Type="http://schemas.microsoft.com/office/2014/relationships/chartEx" Target="../charts/chartEx4.xml"/><Relationship Id="rId9" Type="http://schemas.microsoft.com/office/2014/relationships/chartEx" Target="../charts/chartEx7.xml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8.xml"/><Relationship Id="rId13" Type="http://schemas.openxmlformats.org/officeDocument/2006/relationships/chart" Target="../charts/chart9.xml"/><Relationship Id="rId3" Type="http://schemas.microsoft.com/office/2014/relationships/chartEx" Target="../charts/chartEx13.xml"/><Relationship Id="rId7" Type="http://schemas.microsoft.com/office/2014/relationships/chartEx" Target="../charts/chartEx17.xml"/><Relationship Id="rId12" Type="http://schemas.openxmlformats.org/officeDocument/2006/relationships/chart" Target="../charts/chart8.xml"/><Relationship Id="rId2" Type="http://schemas.microsoft.com/office/2014/relationships/chartEx" Target="../charts/chartEx12.xml"/><Relationship Id="rId1" Type="http://schemas.microsoft.com/office/2014/relationships/chartEx" Target="../charts/chartEx11.xml"/><Relationship Id="rId6" Type="http://schemas.microsoft.com/office/2014/relationships/chartEx" Target="../charts/chartEx16.xml"/><Relationship Id="rId11" Type="http://schemas.openxmlformats.org/officeDocument/2006/relationships/chart" Target="../charts/chart7.xml"/><Relationship Id="rId5" Type="http://schemas.microsoft.com/office/2014/relationships/chartEx" Target="../charts/chartEx15.xml"/><Relationship Id="rId10" Type="http://schemas.microsoft.com/office/2014/relationships/chartEx" Target="../charts/chartEx20.xml"/><Relationship Id="rId4" Type="http://schemas.microsoft.com/office/2014/relationships/chartEx" Target="../charts/chartEx14.xml"/><Relationship Id="rId9" Type="http://schemas.microsoft.com/office/2014/relationships/chartEx" Target="../charts/chartEx19.xml"/><Relationship Id="rId1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28.xml"/><Relationship Id="rId13" Type="http://schemas.openxmlformats.org/officeDocument/2006/relationships/chart" Target="../charts/chart13.xml"/><Relationship Id="rId3" Type="http://schemas.microsoft.com/office/2014/relationships/chartEx" Target="../charts/chartEx23.xml"/><Relationship Id="rId7" Type="http://schemas.microsoft.com/office/2014/relationships/chartEx" Target="../charts/chartEx27.xml"/><Relationship Id="rId12" Type="http://schemas.openxmlformats.org/officeDocument/2006/relationships/chart" Target="../charts/chart12.xml"/><Relationship Id="rId2" Type="http://schemas.microsoft.com/office/2014/relationships/chartEx" Target="../charts/chartEx22.xml"/><Relationship Id="rId1" Type="http://schemas.microsoft.com/office/2014/relationships/chartEx" Target="../charts/chartEx21.xml"/><Relationship Id="rId6" Type="http://schemas.microsoft.com/office/2014/relationships/chartEx" Target="../charts/chartEx26.xml"/><Relationship Id="rId11" Type="http://schemas.openxmlformats.org/officeDocument/2006/relationships/chart" Target="../charts/chart11.xml"/><Relationship Id="rId5" Type="http://schemas.microsoft.com/office/2014/relationships/chartEx" Target="../charts/chartEx25.xml"/><Relationship Id="rId10" Type="http://schemas.microsoft.com/office/2014/relationships/chartEx" Target="../charts/chartEx30.xml"/><Relationship Id="rId4" Type="http://schemas.microsoft.com/office/2014/relationships/chartEx" Target="../charts/chartEx24.xml"/><Relationship Id="rId9" Type="http://schemas.microsoft.com/office/2014/relationships/chartEx" Target="../charts/chartEx29.xml"/><Relationship Id="rId1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38.xml"/><Relationship Id="rId3" Type="http://schemas.microsoft.com/office/2014/relationships/chartEx" Target="../charts/chartEx33.xml"/><Relationship Id="rId7" Type="http://schemas.microsoft.com/office/2014/relationships/chartEx" Target="../charts/chartEx37.xml"/><Relationship Id="rId2" Type="http://schemas.microsoft.com/office/2014/relationships/chartEx" Target="../charts/chartEx32.xml"/><Relationship Id="rId1" Type="http://schemas.microsoft.com/office/2014/relationships/chartEx" Target="../charts/chartEx31.xml"/><Relationship Id="rId6" Type="http://schemas.microsoft.com/office/2014/relationships/chartEx" Target="../charts/chartEx36.xml"/><Relationship Id="rId5" Type="http://schemas.microsoft.com/office/2014/relationships/chartEx" Target="../charts/chartEx35.xml"/><Relationship Id="rId10" Type="http://schemas.microsoft.com/office/2014/relationships/chartEx" Target="../charts/chartEx40.xml"/><Relationship Id="rId4" Type="http://schemas.microsoft.com/office/2014/relationships/chartEx" Target="../charts/chartEx34.xml"/><Relationship Id="rId9" Type="http://schemas.microsoft.com/office/2014/relationships/chartEx" Target="../charts/chartEx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96</xdr:row>
      <xdr:rowOff>47625</xdr:rowOff>
    </xdr:from>
    <xdr:to>
      <xdr:col>8</xdr:col>
      <xdr:colOff>590550</xdr:colOff>
      <xdr:row>114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7" name="Chart 4">
              <a:extLst>
                <a:ext uri="{FF2B5EF4-FFF2-40B4-BE49-F238E27FC236}">
                  <a16:creationId xmlns:a16="http://schemas.microsoft.com/office/drawing/2014/main" id="{4D842650-03D4-AFD4-1648-DA206B0A38C2}"/>
                </a:ext>
                <a:ext uri="{147F2762-F138-4A5C-976F-8EAC2B608ADB}">
                  <a16:predDERef xmlns:a16="http://schemas.microsoft.com/office/drawing/2014/main" pred="{2C1F0813-7B9C-A591-CA85-8506016C74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115</xdr:row>
      <xdr:rowOff>76200</xdr:rowOff>
    </xdr:from>
    <xdr:to>
      <xdr:col>4</xdr:col>
      <xdr:colOff>257175</xdr:colOff>
      <xdr:row>133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8" name="Chart 6">
              <a:extLst>
                <a:ext uri="{FF2B5EF4-FFF2-40B4-BE49-F238E27FC236}">
                  <a16:creationId xmlns:a16="http://schemas.microsoft.com/office/drawing/2014/main" id="{9F157779-04E5-B3F2-34A1-E34D59D366AF}"/>
                </a:ext>
                <a:ext uri="{147F2762-F138-4A5C-976F-8EAC2B608ADB}">
                  <a16:predDERef xmlns:a16="http://schemas.microsoft.com/office/drawing/2014/main" pred="{4D842650-03D4-AFD4-1648-DA206B0A38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352425</xdr:colOff>
      <xdr:row>115</xdr:row>
      <xdr:rowOff>66675</xdr:rowOff>
    </xdr:from>
    <xdr:to>
      <xdr:col>8</xdr:col>
      <xdr:colOff>581025</xdr:colOff>
      <xdr:row>133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9" name="Chart 7">
              <a:extLst>
                <a:ext uri="{FF2B5EF4-FFF2-40B4-BE49-F238E27FC236}">
                  <a16:creationId xmlns:a16="http://schemas.microsoft.com/office/drawing/2014/main" id="{6409B2DB-65A1-1CB0-8137-49DF91A40C72}"/>
                </a:ext>
                <a:ext uri="{147F2762-F138-4A5C-976F-8EAC2B608ADB}">
                  <a16:predDERef xmlns:a16="http://schemas.microsoft.com/office/drawing/2014/main" pred="{9F157779-04E5-B3F2-34A1-E34D59D366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134</xdr:row>
      <xdr:rowOff>76200</xdr:rowOff>
    </xdr:from>
    <xdr:to>
      <xdr:col>4</xdr:col>
      <xdr:colOff>257175</xdr:colOff>
      <xdr:row>152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0" name="Chart 8">
              <a:extLst>
                <a:ext uri="{FF2B5EF4-FFF2-40B4-BE49-F238E27FC236}">
                  <a16:creationId xmlns:a16="http://schemas.microsoft.com/office/drawing/2014/main" id="{14313896-775B-946E-C19D-9A5E6B1EEDA7}"/>
                </a:ext>
                <a:ext uri="{147F2762-F138-4A5C-976F-8EAC2B608ADB}">
                  <a16:predDERef xmlns:a16="http://schemas.microsoft.com/office/drawing/2014/main" pred="{6409B2DB-65A1-1CB0-8137-49DF91A40C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96</xdr:row>
      <xdr:rowOff>57150</xdr:rowOff>
    </xdr:from>
    <xdr:to>
      <xdr:col>4</xdr:col>
      <xdr:colOff>266700</xdr:colOff>
      <xdr:row>114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1" name="Chart 10">
              <a:extLst>
                <a:ext uri="{FF2B5EF4-FFF2-40B4-BE49-F238E27FC236}">
                  <a16:creationId xmlns:a16="http://schemas.microsoft.com/office/drawing/2014/main" id="{9F61DFA4-49A2-A6D3-6495-B9DB4B7AF6A9}"/>
                </a:ext>
                <a:ext uri="{147F2762-F138-4A5C-976F-8EAC2B608ADB}">
                  <a16:predDERef xmlns:a16="http://schemas.microsoft.com/office/drawing/2014/main" pred="{14313896-775B-946E-C19D-9A5E6B1EED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-8458200</xdr:colOff>
      <xdr:row>132</xdr:row>
      <xdr:rowOff>0</xdr:rowOff>
    </xdr:from>
    <xdr:to>
      <xdr:col>0</xdr:col>
      <xdr:colOff>-3886200</xdr:colOff>
      <xdr:row>146</xdr:row>
      <xdr:rowOff>76200</xdr:rowOff>
    </xdr:to>
    <xdr:graphicFrame macro="">
      <xdr:nvGraphicFramePr>
        <xdr:cNvPr id="52" name="Chart 15">
          <a:extLst>
            <a:ext uri="{FF2B5EF4-FFF2-40B4-BE49-F238E27FC236}">
              <a16:creationId xmlns:a16="http://schemas.microsoft.com/office/drawing/2014/main" id="{48523EAF-2283-5E67-38B3-CD5FC962396C}"/>
            </a:ext>
            <a:ext uri="{147F2762-F138-4A5C-976F-8EAC2B608ADB}">
              <a16:predDERef xmlns:a16="http://schemas.microsoft.com/office/drawing/2014/main" pred="{9F61DFA4-49A2-A6D3-6495-B9DB4B7AF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155</xdr:row>
      <xdr:rowOff>171450</xdr:rowOff>
    </xdr:from>
    <xdr:to>
      <xdr:col>4</xdr:col>
      <xdr:colOff>1390650</xdr:colOff>
      <xdr:row>175</xdr:row>
      <xdr:rowOff>9525</xdr:rowOff>
    </xdr:to>
    <xdr:graphicFrame macro="">
      <xdr:nvGraphicFramePr>
        <xdr:cNvPr id="64" name="Chart 1">
          <a:extLst>
            <a:ext uri="{FF2B5EF4-FFF2-40B4-BE49-F238E27FC236}">
              <a16:creationId xmlns:a16="http://schemas.microsoft.com/office/drawing/2014/main" id="{9460A88F-7E69-5F77-148B-F2211E4BC05A}"/>
            </a:ext>
            <a:ext uri="{147F2762-F138-4A5C-976F-8EAC2B608ADB}">
              <a16:predDERef xmlns:a16="http://schemas.microsoft.com/office/drawing/2014/main" pred="{48523EAF-2283-5E67-38B3-CD5FC9623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182</xdr:row>
      <xdr:rowOff>161925</xdr:rowOff>
    </xdr:from>
    <xdr:to>
      <xdr:col>4</xdr:col>
      <xdr:colOff>495300</xdr:colOff>
      <xdr:row>201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1" name="Chart 3">
              <a:extLst>
                <a:ext uri="{FF2B5EF4-FFF2-40B4-BE49-F238E27FC236}">
                  <a16:creationId xmlns:a16="http://schemas.microsoft.com/office/drawing/2014/main" id="{AD976918-C78F-CB59-E92C-B47C5A451471}"/>
                </a:ext>
                <a:ext uri="{147F2762-F138-4A5C-976F-8EAC2B608ADB}">
                  <a16:predDERef xmlns:a16="http://schemas.microsoft.com/office/drawing/2014/main" pred="{9460A88F-7E69-5F77-148B-F2211E4BC0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666750</xdr:colOff>
      <xdr:row>182</xdr:row>
      <xdr:rowOff>142875</xdr:rowOff>
    </xdr:from>
    <xdr:to>
      <xdr:col>8</xdr:col>
      <xdr:colOff>847725</xdr:colOff>
      <xdr:row>201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3" name="Chart 5">
              <a:extLst>
                <a:ext uri="{FF2B5EF4-FFF2-40B4-BE49-F238E27FC236}">
                  <a16:creationId xmlns:a16="http://schemas.microsoft.com/office/drawing/2014/main" id="{7592746A-5EDA-8FED-77B5-1F55ED1A502D}"/>
                </a:ext>
                <a:ext uri="{147F2762-F138-4A5C-976F-8EAC2B608ADB}">
                  <a16:predDERef xmlns:a16="http://schemas.microsoft.com/office/drawing/2014/main" pred="{AD976918-C78F-CB59-E92C-B47C5A4514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202</xdr:row>
      <xdr:rowOff>180975</xdr:rowOff>
    </xdr:from>
    <xdr:to>
      <xdr:col>4</xdr:col>
      <xdr:colOff>485775</xdr:colOff>
      <xdr:row>222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4" name="Chart 9">
              <a:extLst>
                <a:ext uri="{FF2B5EF4-FFF2-40B4-BE49-F238E27FC236}">
                  <a16:creationId xmlns:a16="http://schemas.microsoft.com/office/drawing/2014/main" id="{B1094880-F061-860E-0B68-B52B3A16563A}"/>
                </a:ext>
                <a:ext uri="{147F2762-F138-4A5C-976F-8EAC2B608ADB}">
                  <a16:predDERef xmlns:a16="http://schemas.microsoft.com/office/drawing/2014/main" pred="{7592746A-5EDA-8FED-77B5-1F55ED1A50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638175</xdr:colOff>
      <xdr:row>202</xdr:row>
      <xdr:rowOff>180975</xdr:rowOff>
    </xdr:from>
    <xdr:to>
      <xdr:col>8</xdr:col>
      <xdr:colOff>1104900</xdr:colOff>
      <xdr:row>222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Chart 11">
              <a:extLst>
                <a:ext uri="{FF2B5EF4-FFF2-40B4-BE49-F238E27FC236}">
                  <a16:creationId xmlns:a16="http://schemas.microsoft.com/office/drawing/2014/main" id="{564B8CD2-C790-6B79-4E6E-F14E9116DAF9}"/>
                </a:ext>
                <a:ext uri="{147F2762-F138-4A5C-976F-8EAC2B608ADB}">
                  <a16:predDERef xmlns:a16="http://schemas.microsoft.com/office/drawing/2014/main" pred="{B1094880-F061-860E-0B68-B52B3A1656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223</xdr:row>
      <xdr:rowOff>142875</xdr:rowOff>
    </xdr:from>
    <xdr:to>
      <xdr:col>4</xdr:col>
      <xdr:colOff>466725</xdr:colOff>
      <xdr:row>242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2" name="Chart 12">
              <a:extLst>
                <a:ext uri="{FF2B5EF4-FFF2-40B4-BE49-F238E27FC236}">
                  <a16:creationId xmlns:a16="http://schemas.microsoft.com/office/drawing/2014/main" id="{339F7286-72E0-8171-B508-ABB5E0829BD7}"/>
                </a:ext>
                <a:ext uri="{147F2762-F138-4A5C-976F-8EAC2B608ADB}">
                  <a16:predDERef xmlns:a16="http://schemas.microsoft.com/office/drawing/2014/main" pred="{564B8CD2-C790-6B79-4E6E-F14E9116DA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9525</xdr:colOff>
      <xdr:row>248</xdr:row>
      <xdr:rowOff>171450</xdr:rowOff>
    </xdr:from>
    <xdr:to>
      <xdr:col>4</xdr:col>
      <xdr:colOff>371475</xdr:colOff>
      <xdr:row>267</xdr:row>
      <xdr:rowOff>152400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3B5F8C5F-6423-26F3-F9B4-AEA103E50E16}"/>
            </a:ext>
            <a:ext uri="{147F2762-F138-4A5C-976F-8EAC2B608ADB}">
              <a16:predDERef xmlns:a16="http://schemas.microsoft.com/office/drawing/2014/main" pred="{339F7286-72E0-8171-B508-ABB5E0829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561975</xdr:colOff>
      <xdr:row>248</xdr:row>
      <xdr:rowOff>161925</xdr:rowOff>
    </xdr:from>
    <xdr:to>
      <xdr:col>8</xdr:col>
      <xdr:colOff>904875</xdr:colOff>
      <xdr:row>267</xdr:row>
      <xdr:rowOff>133350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114649B7-CC6A-420E-1F41-3E583D6FAB83}"/>
            </a:ext>
            <a:ext uri="{147F2762-F138-4A5C-976F-8EAC2B608ADB}">
              <a16:predDERef xmlns:a16="http://schemas.microsoft.com/office/drawing/2014/main" pred="{3B5F8C5F-6423-26F3-F9B4-AEA103E50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269</xdr:row>
      <xdr:rowOff>114300</xdr:rowOff>
    </xdr:from>
    <xdr:to>
      <xdr:col>4</xdr:col>
      <xdr:colOff>342900</xdr:colOff>
      <xdr:row>288</xdr:row>
      <xdr:rowOff>85725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3FD14AD4-C01B-4D4F-BB36-64FFFAB960A5}"/>
            </a:ext>
            <a:ext uri="{147F2762-F138-4A5C-976F-8EAC2B608ADB}">
              <a16:predDERef xmlns:a16="http://schemas.microsoft.com/office/drawing/2014/main" pred="{114649B7-CC6A-420E-1F41-3E583D6FA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571500</xdr:colOff>
      <xdr:row>269</xdr:row>
      <xdr:rowOff>85725</xdr:rowOff>
    </xdr:from>
    <xdr:to>
      <xdr:col>8</xdr:col>
      <xdr:colOff>914400</xdr:colOff>
      <xdr:row>288</xdr:row>
      <xdr:rowOff>57150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B9A0D806-2CBD-48B1-A29B-64AEC6F5C8E4}"/>
            </a:ext>
            <a:ext uri="{147F2762-F138-4A5C-976F-8EAC2B608ADB}">
              <a16:predDERef xmlns:a16="http://schemas.microsoft.com/office/drawing/2014/main" pred="{3FD14AD4-C01B-4D4F-BB36-64FFFAB96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55</xdr:row>
      <xdr:rowOff>104775</xdr:rowOff>
    </xdr:from>
    <xdr:to>
      <xdr:col>3</xdr:col>
      <xdr:colOff>304800</xdr:colOff>
      <xdr:row>71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17A331F0-9691-3939-3471-E47F1E97C4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1476375</xdr:colOff>
      <xdr:row>55</xdr:row>
      <xdr:rowOff>161925</xdr:rowOff>
    </xdr:from>
    <xdr:to>
      <xdr:col>5</xdr:col>
      <xdr:colOff>2019300</xdr:colOff>
      <xdr:row>71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0" name="Chart 2">
              <a:extLst>
                <a:ext uri="{FF2B5EF4-FFF2-40B4-BE49-F238E27FC236}">
                  <a16:creationId xmlns:a16="http://schemas.microsoft.com/office/drawing/2014/main" id="{EA93B8F2-7627-13E6-08A5-196BC6A4BB52}"/>
                </a:ext>
                <a:ext uri="{147F2762-F138-4A5C-976F-8EAC2B608ADB}">
                  <a16:predDERef xmlns:a16="http://schemas.microsoft.com/office/drawing/2014/main" pred="{17A331F0-9691-3939-3471-E47F1E97C4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409575</xdr:colOff>
      <xdr:row>73</xdr:row>
      <xdr:rowOff>38100</xdr:rowOff>
    </xdr:from>
    <xdr:to>
      <xdr:col>3</xdr:col>
      <xdr:colOff>419100</xdr:colOff>
      <xdr:row>88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3" name="Chart 3">
              <a:extLst>
                <a:ext uri="{FF2B5EF4-FFF2-40B4-BE49-F238E27FC236}">
                  <a16:creationId xmlns:a16="http://schemas.microsoft.com/office/drawing/2014/main" id="{FBDABF05-E752-325A-23D0-9E2F49DD912D}"/>
                </a:ext>
                <a:ext uri="{147F2762-F138-4A5C-976F-8EAC2B608ADB}">
                  <a16:predDERef xmlns:a16="http://schemas.microsoft.com/office/drawing/2014/main" pred="{EA93B8F2-7627-13E6-08A5-196BC6A4BB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1457325</xdr:colOff>
      <xdr:row>73</xdr:row>
      <xdr:rowOff>104775</xdr:rowOff>
    </xdr:from>
    <xdr:to>
      <xdr:col>5</xdr:col>
      <xdr:colOff>1943100</xdr:colOff>
      <xdr:row>88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5" name="Chart 4">
              <a:extLst>
                <a:ext uri="{FF2B5EF4-FFF2-40B4-BE49-F238E27FC236}">
                  <a16:creationId xmlns:a16="http://schemas.microsoft.com/office/drawing/2014/main" id="{AB17D5CA-0E5F-2056-4439-F4676966341C}"/>
                </a:ext>
                <a:ext uri="{147F2762-F138-4A5C-976F-8EAC2B608ADB}">
                  <a16:predDERef xmlns:a16="http://schemas.microsoft.com/office/drawing/2014/main" pred="{FBDABF05-E752-325A-23D0-9E2F49DD91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514350</xdr:colOff>
      <xdr:row>90</xdr:row>
      <xdr:rowOff>180975</xdr:rowOff>
    </xdr:from>
    <xdr:to>
      <xdr:col>3</xdr:col>
      <xdr:colOff>495300</xdr:colOff>
      <xdr:row>106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4" name="Chart 5">
              <a:extLst>
                <a:ext uri="{FF2B5EF4-FFF2-40B4-BE49-F238E27FC236}">
                  <a16:creationId xmlns:a16="http://schemas.microsoft.com/office/drawing/2014/main" id="{41FEA435-9714-C271-D367-4394AE87E0E5}"/>
                </a:ext>
                <a:ext uri="{147F2762-F138-4A5C-976F-8EAC2B608ADB}">
                  <a16:predDERef xmlns:a16="http://schemas.microsoft.com/office/drawing/2014/main" pred="{AB17D5CA-0E5F-2056-4439-F467696634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419100</xdr:colOff>
      <xdr:row>108</xdr:row>
      <xdr:rowOff>47625</xdr:rowOff>
    </xdr:from>
    <xdr:to>
      <xdr:col>3</xdr:col>
      <xdr:colOff>685800</xdr:colOff>
      <xdr:row>124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6" name="Chart 6">
              <a:extLst>
                <a:ext uri="{FF2B5EF4-FFF2-40B4-BE49-F238E27FC236}">
                  <a16:creationId xmlns:a16="http://schemas.microsoft.com/office/drawing/2014/main" id="{73283909-D237-C5FA-A565-966CBB3B06C6}"/>
                </a:ext>
                <a:ext uri="{147F2762-F138-4A5C-976F-8EAC2B608ADB}">
                  <a16:predDERef xmlns:a16="http://schemas.microsoft.com/office/drawing/2014/main" pred="{41FEA435-9714-C271-D367-4394AE87E0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1257300</xdr:colOff>
      <xdr:row>108</xdr:row>
      <xdr:rowOff>19050</xdr:rowOff>
    </xdr:from>
    <xdr:to>
      <xdr:col>5</xdr:col>
      <xdr:colOff>1952625</xdr:colOff>
      <xdr:row>124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1" name="Chart 7">
              <a:extLst>
                <a:ext uri="{FF2B5EF4-FFF2-40B4-BE49-F238E27FC236}">
                  <a16:creationId xmlns:a16="http://schemas.microsoft.com/office/drawing/2014/main" id="{8C14D78A-B8C0-F711-56B9-E90CF48F0AF3}"/>
                </a:ext>
                <a:ext uri="{147F2762-F138-4A5C-976F-8EAC2B608ADB}">
                  <a16:predDERef xmlns:a16="http://schemas.microsoft.com/office/drawing/2014/main" pred="{73283909-D237-C5FA-A565-966CBB3B06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85725</xdr:colOff>
      <xdr:row>126</xdr:row>
      <xdr:rowOff>142875</xdr:rowOff>
    </xdr:from>
    <xdr:to>
      <xdr:col>3</xdr:col>
      <xdr:colOff>628650</xdr:colOff>
      <xdr:row>143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7" name="Chart 8">
              <a:extLst>
                <a:ext uri="{FF2B5EF4-FFF2-40B4-BE49-F238E27FC236}">
                  <a16:creationId xmlns:a16="http://schemas.microsoft.com/office/drawing/2014/main" id="{91106548-59FE-3719-C9E5-C0362737B1C0}"/>
                </a:ext>
                <a:ext uri="{147F2762-F138-4A5C-976F-8EAC2B608ADB}">
                  <a16:predDERef xmlns:a16="http://schemas.microsoft.com/office/drawing/2014/main" pred="{8C14D78A-B8C0-F711-56B9-E90CF48F0A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1085850</xdr:colOff>
      <xdr:row>126</xdr:row>
      <xdr:rowOff>133350</xdr:rowOff>
    </xdr:from>
    <xdr:to>
      <xdr:col>6</xdr:col>
      <xdr:colOff>38100</xdr:colOff>
      <xdr:row>142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9" name="Chart 9">
              <a:extLst>
                <a:ext uri="{FF2B5EF4-FFF2-40B4-BE49-F238E27FC236}">
                  <a16:creationId xmlns:a16="http://schemas.microsoft.com/office/drawing/2014/main" id="{3E553C2E-C337-36EF-CE4D-EEC4BE48B83B}"/>
                </a:ext>
                <a:ext uri="{147F2762-F138-4A5C-976F-8EAC2B608ADB}">
                  <a16:predDERef xmlns:a16="http://schemas.microsoft.com/office/drawing/2014/main" pred="{91106548-59FE-3719-C9E5-C0362737B1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333375</xdr:colOff>
      <xdr:row>145</xdr:row>
      <xdr:rowOff>28575</xdr:rowOff>
    </xdr:from>
    <xdr:to>
      <xdr:col>3</xdr:col>
      <xdr:colOff>590550</xdr:colOff>
      <xdr:row>160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8" name="Chart 10">
              <a:extLst>
                <a:ext uri="{FF2B5EF4-FFF2-40B4-BE49-F238E27FC236}">
                  <a16:creationId xmlns:a16="http://schemas.microsoft.com/office/drawing/2014/main" id="{5BDE29BC-2671-4759-09EA-5E08F5188299}"/>
                </a:ext>
                <a:ext uri="{147F2762-F138-4A5C-976F-8EAC2B608ADB}">
                  <a16:predDERef xmlns:a16="http://schemas.microsoft.com/office/drawing/2014/main" pred="{3E553C2E-C337-36EF-CE4D-EEC4BE48B8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581025</xdr:colOff>
      <xdr:row>164</xdr:row>
      <xdr:rowOff>95250</xdr:rowOff>
    </xdr:from>
    <xdr:to>
      <xdr:col>3</xdr:col>
      <xdr:colOff>257175</xdr:colOff>
      <xdr:row>178</xdr:row>
      <xdr:rowOff>171450</xdr:rowOff>
    </xdr:to>
    <xdr:graphicFrame macro="">
      <xdr:nvGraphicFramePr>
        <xdr:cNvPr id="202" name="Chart 83">
          <a:extLst>
            <a:ext uri="{FF2B5EF4-FFF2-40B4-BE49-F238E27FC236}">
              <a16:creationId xmlns:a16="http://schemas.microsoft.com/office/drawing/2014/main" id="{6188FC6A-7164-B0AC-C088-192EB78063F0}"/>
            </a:ext>
            <a:ext uri="{147F2762-F138-4A5C-976F-8EAC2B608ADB}">
              <a16:predDERef xmlns:a16="http://schemas.microsoft.com/office/drawing/2014/main" pred="{5BDE29BC-2671-4759-09EA-5E08F5188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857250</xdr:colOff>
      <xdr:row>164</xdr:row>
      <xdr:rowOff>28575</xdr:rowOff>
    </xdr:from>
    <xdr:to>
      <xdr:col>5</xdr:col>
      <xdr:colOff>1209675</xdr:colOff>
      <xdr:row>178</xdr:row>
      <xdr:rowOff>104775</xdr:rowOff>
    </xdr:to>
    <xdr:graphicFrame macro="">
      <xdr:nvGraphicFramePr>
        <xdr:cNvPr id="204" name="Chart 95">
          <a:extLst>
            <a:ext uri="{FF2B5EF4-FFF2-40B4-BE49-F238E27FC236}">
              <a16:creationId xmlns:a16="http://schemas.microsoft.com/office/drawing/2014/main" id="{454B6F86-CDD3-4A97-AC43-5A49B12BB5BC}"/>
            </a:ext>
            <a:ext uri="{147F2762-F138-4A5C-976F-8EAC2B608ADB}">
              <a16:predDERef xmlns:a16="http://schemas.microsoft.com/office/drawing/2014/main" pred="{6188FC6A-7164-B0AC-C088-192EB7806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971550</xdr:colOff>
      <xdr:row>180</xdr:row>
      <xdr:rowOff>161925</xdr:rowOff>
    </xdr:from>
    <xdr:to>
      <xdr:col>5</xdr:col>
      <xdr:colOff>1323975</xdr:colOff>
      <xdr:row>195</xdr:row>
      <xdr:rowOff>47625</xdr:rowOff>
    </xdr:to>
    <xdr:graphicFrame macro="">
      <xdr:nvGraphicFramePr>
        <xdr:cNvPr id="207" name="Chart 106">
          <a:extLst>
            <a:ext uri="{FF2B5EF4-FFF2-40B4-BE49-F238E27FC236}">
              <a16:creationId xmlns:a16="http://schemas.microsoft.com/office/drawing/2014/main" id="{0A5D6A28-5C4C-E38B-9768-7CBA37F0D879}"/>
            </a:ext>
            <a:ext uri="{147F2762-F138-4A5C-976F-8EAC2B608ADB}">
              <a16:predDERef xmlns:a16="http://schemas.microsoft.com/office/drawing/2014/main" pred="{454B6F86-CDD3-4A97-AC43-5A49B12BB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561975</xdr:colOff>
      <xdr:row>181</xdr:row>
      <xdr:rowOff>47625</xdr:rowOff>
    </xdr:from>
    <xdr:to>
      <xdr:col>3</xdr:col>
      <xdr:colOff>238125</xdr:colOff>
      <xdr:row>195</xdr:row>
      <xdr:rowOff>123825</xdr:rowOff>
    </xdr:to>
    <xdr:graphicFrame macro="">
      <xdr:nvGraphicFramePr>
        <xdr:cNvPr id="205" name="Chart 107">
          <a:extLst>
            <a:ext uri="{FF2B5EF4-FFF2-40B4-BE49-F238E27FC236}">
              <a16:creationId xmlns:a16="http://schemas.microsoft.com/office/drawing/2014/main" id="{87007E29-5061-D788-20BF-77D655AB0E43}"/>
            </a:ext>
            <a:ext uri="{147F2762-F138-4A5C-976F-8EAC2B608ADB}">
              <a16:predDERef xmlns:a16="http://schemas.microsoft.com/office/drawing/2014/main" pred="{0A5D6A28-5C4C-E38B-9768-7CBA37F0D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47</xdr:row>
      <xdr:rowOff>161925</xdr:rowOff>
    </xdr:from>
    <xdr:to>
      <xdr:col>4</xdr:col>
      <xdr:colOff>381000</xdr:colOff>
      <xdr:row>62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170900-3360-5FA4-7FAC-283528E90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895350</xdr:colOff>
      <xdr:row>47</xdr:row>
      <xdr:rowOff>152400</xdr:rowOff>
    </xdr:from>
    <xdr:to>
      <xdr:col>9</xdr:col>
      <xdr:colOff>361950</xdr:colOff>
      <xdr:row>62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351909-E785-3597-8D18-797F42D319FA}"/>
                </a:ext>
                <a:ext uri="{147F2762-F138-4A5C-976F-8EAC2B608ADB}">
                  <a16:predDERef xmlns:a16="http://schemas.microsoft.com/office/drawing/2014/main" pred="{99170900-3360-5FA4-7FAC-283528E90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238125</xdr:colOff>
      <xdr:row>64</xdr:row>
      <xdr:rowOff>95250</xdr:rowOff>
    </xdr:from>
    <xdr:to>
      <xdr:col>2</xdr:col>
      <xdr:colOff>1076325</xdr:colOff>
      <xdr:row>78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138602B-7D17-9E2B-91FD-69AE0822675F}"/>
                </a:ext>
                <a:ext uri="{147F2762-F138-4A5C-976F-8EAC2B608ADB}">
                  <a16:predDERef xmlns:a16="http://schemas.microsoft.com/office/drawing/2014/main" pred="{32351909-E785-3597-8D18-797F42D319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57150</xdr:colOff>
      <xdr:row>64</xdr:row>
      <xdr:rowOff>47625</xdr:rowOff>
    </xdr:from>
    <xdr:to>
      <xdr:col>7</xdr:col>
      <xdr:colOff>342900</xdr:colOff>
      <xdr:row>78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F94819D-CC56-3A3B-A0AA-389460DD16F1}"/>
                </a:ext>
                <a:ext uri="{147F2762-F138-4A5C-976F-8EAC2B608ADB}">
                  <a16:predDERef xmlns:a16="http://schemas.microsoft.com/office/drawing/2014/main" pred="{E138602B-7D17-9E2B-91FD-69AE082267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247650</xdr:colOff>
      <xdr:row>80</xdr:row>
      <xdr:rowOff>19050</xdr:rowOff>
    </xdr:from>
    <xdr:to>
      <xdr:col>2</xdr:col>
      <xdr:colOff>1085850</xdr:colOff>
      <xdr:row>94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2179BC6-4F77-B8CB-1706-9808C72BA447}"/>
                </a:ext>
                <a:ext uri="{147F2762-F138-4A5C-976F-8EAC2B608ADB}">
                  <a16:predDERef xmlns:a16="http://schemas.microsoft.com/office/drawing/2014/main" pred="{FF94819D-CC56-3A3B-A0AA-389460DD16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96</xdr:row>
      <xdr:rowOff>142875</xdr:rowOff>
    </xdr:from>
    <xdr:to>
      <xdr:col>2</xdr:col>
      <xdr:colOff>952500</xdr:colOff>
      <xdr:row>111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F81ED60-94FF-6D66-6704-C80E670D1444}"/>
                </a:ext>
                <a:ext uri="{147F2762-F138-4A5C-976F-8EAC2B608ADB}">
                  <a16:predDERef xmlns:a16="http://schemas.microsoft.com/office/drawing/2014/main" pred="{82179BC6-4F77-B8CB-1706-9808C72BA4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1114425</xdr:colOff>
      <xdr:row>96</xdr:row>
      <xdr:rowOff>152400</xdr:rowOff>
    </xdr:from>
    <xdr:to>
      <xdr:col>6</xdr:col>
      <xdr:colOff>561975</xdr:colOff>
      <xdr:row>111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E9C07C6-C3B5-3215-1C54-F53859A2EB85}"/>
                </a:ext>
                <a:ext uri="{147F2762-F138-4A5C-976F-8EAC2B608ADB}">
                  <a16:predDERef xmlns:a16="http://schemas.microsoft.com/office/drawing/2014/main" pred="{DF81ED60-94FF-6D66-6704-C80E670D1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704850</xdr:colOff>
      <xdr:row>96</xdr:row>
      <xdr:rowOff>104775</xdr:rowOff>
    </xdr:from>
    <xdr:to>
      <xdr:col>12</xdr:col>
      <xdr:colOff>361950</xdr:colOff>
      <xdr:row>110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175A490-C784-81A1-F302-46512E869949}"/>
                </a:ext>
                <a:ext uri="{147F2762-F138-4A5C-976F-8EAC2B608ADB}">
                  <a16:predDERef xmlns:a16="http://schemas.microsoft.com/office/drawing/2014/main" pred="{AE9C07C6-C3B5-3215-1C54-F53859A2EB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161925</xdr:colOff>
      <xdr:row>111</xdr:row>
      <xdr:rowOff>180975</xdr:rowOff>
    </xdr:from>
    <xdr:to>
      <xdr:col>2</xdr:col>
      <xdr:colOff>1000125</xdr:colOff>
      <xdr:row>126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08C7AC8-CDA8-A825-45B7-A854278E323C}"/>
                </a:ext>
                <a:ext uri="{147F2762-F138-4A5C-976F-8EAC2B608ADB}">
                  <a16:predDERef xmlns:a16="http://schemas.microsoft.com/office/drawing/2014/main" pred="{4175A490-C784-81A1-F302-46512E8699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1247775</xdr:colOff>
      <xdr:row>112</xdr:row>
      <xdr:rowOff>38100</xdr:rowOff>
    </xdr:from>
    <xdr:to>
      <xdr:col>6</xdr:col>
      <xdr:colOff>695325</xdr:colOff>
      <xdr:row>126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EC98EFC-265B-6F7C-00C2-F7E89FCE0255}"/>
                </a:ext>
                <a:ext uri="{147F2762-F138-4A5C-976F-8EAC2B608ADB}">
                  <a16:predDERef xmlns:a16="http://schemas.microsoft.com/office/drawing/2014/main" pred="{108C7AC8-CDA8-A825-45B7-A854278E32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257175</xdr:colOff>
      <xdr:row>128</xdr:row>
      <xdr:rowOff>9525</xdr:rowOff>
    </xdr:from>
    <xdr:to>
      <xdr:col>2</xdr:col>
      <xdr:colOff>1095375</xdr:colOff>
      <xdr:row>142</xdr:row>
      <xdr:rowOff>85725</xdr:rowOff>
    </xdr:to>
    <xdr:graphicFrame macro="">
      <xdr:nvGraphicFramePr>
        <xdr:cNvPr id="20" name="Chart 12">
          <a:extLst>
            <a:ext uri="{FF2B5EF4-FFF2-40B4-BE49-F238E27FC236}">
              <a16:creationId xmlns:a16="http://schemas.microsoft.com/office/drawing/2014/main" id="{0339F9B6-6AB3-F2DB-DAEA-E17F354D0340}"/>
            </a:ext>
            <a:ext uri="{147F2762-F138-4A5C-976F-8EAC2B608ADB}">
              <a16:predDERef xmlns:a16="http://schemas.microsoft.com/office/drawing/2014/main" pred="{5EC98EFC-265B-6F7C-00C2-F7E89FCE0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1371600</xdr:colOff>
      <xdr:row>128</xdr:row>
      <xdr:rowOff>9525</xdr:rowOff>
    </xdr:from>
    <xdr:to>
      <xdr:col>7</xdr:col>
      <xdr:colOff>0</xdr:colOff>
      <xdr:row>142</xdr:row>
      <xdr:rowOff>85725</xdr:rowOff>
    </xdr:to>
    <xdr:graphicFrame macro="">
      <xdr:nvGraphicFramePr>
        <xdr:cNvPr id="21" name="Chart 13">
          <a:extLst>
            <a:ext uri="{FF2B5EF4-FFF2-40B4-BE49-F238E27FC236}">
              <a16:creationId xmlns:a16="http://schemas.microsoft.com/office/drawing/2014/main" id="{C8EE3FFF-FE3C-8E65-A626-8648C1D59389}"/>
            </a:ext>
            <a:ext uri="{147F2762-F138-4A5C-976F-8EAC2B608ADB}">
              <a16:predDERef xmlns:a16="http://schemas.microsoft.com/office/drawing/2014/main" pred="{0339F9B6-6AB3-F2DB-DAEA-E17F354D0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295275</xdr:colOff>
      <xdr:row>143</xdr:row>
      <xdr:rowOff>95250</xdr:rowOff>
    </xdr:from>
    <xdr:to>
      <xdr:col>2</xdr:col>
      <xdr:colOff>1133475</xdr:colOff>
      <xdr:row>157</xdr:row>
      <xdr:rowOff>171450</xdr:rowOff>
    </xdr:to>
    <xdr:graphicFrame macro="">
      <xdr:nvGraphicFramePr>
        <xdr:cNvPr id="22" name="Chart 14">
          <a:extLst>
            <a:ext uri="{FF2B5EF4-FFF2-40B4-BE49-F238E27FC236}">
              <a16:creationId xmlns:a16="http://schemas.microsoft.com/office/drawing/2014/main" id="{D963D165-222F-57F4-7C73-B667C05BDF33}"/>
            </a:ext>
            <a:ext uri="{147F2762-F138-4A5C-976F-8EAC2B608ADB}">
              <a16:predDERef xmlns:a16="http://schemas.microsoft.com/office/drawing/2014/main" pred="{C8EE3FFF-FE3C-8E65-A626-8648C1D59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1524000</xdr:colOff>
      <xdr:row>143</xdr:row>
      <xdr:rowOff>85725</xdr:rowOff>
    </xdr:from>
    <xdr:to>
      <xdr:col>7</xdr:col>
      <xdr:colOff>152400</xdr:colOff>
      <xdr:row>157</xdr:row>
      <xdr:rowOff>161925</xdr:rowOff>
    </xdr:to>
    <xdr:graphicFrame macro="">
      <xdr:nvGraphicFramePr>
        <xdr:cNvPr id="23" name="Chart 15">
          <a:extLst>
            <a:ext uri="{FF2B5EF4-FFF2-40B4-BE49-F238E27FC236}">
              <a16:creationId xmlns:a16="http://schemas.microsoft.com/office/drawing/2014/main" id="{F4955CAC-EE78-4E18-20FB-853C87A6D951}"/>
            </a:ext>
            <a:ext uri="{147F2762-F138-4A5C-976F-8EAC2B608ADB}">
              <a16:predDERef xmlns:a16="http://schemas.microsoft.com/office/drawing/2014/main" pred="{D963D165-222F-57F4-7C73-B667C05BD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48</xdr:row>
      <xdr:rowOff>0</xdr:rowOff>
    </xdr:from>
    <xdr:to>
      <xdr:col>2</xdr:col>
      <xdr:colOff>1133475</xdr:colOff>
      <xdr:row>63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E385C22-572B-EB11-95DB-244C188F7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9525</xdr:colOff>
      <xdr:row>47</xdr:row>
      <xdr:rowOff>152400</xdr:rowOff>
    </xdr:from>
    <xdr:to>
      <xdr:col>5</xdr:col>
      <xdr:colOff>619125</xdr:colOff>
      <xdr:row>62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EAF3D75-3E17-F7C3-306A-B1D4E9F8CE16}"/>
                </a:ext>
                <a:ext uri="{147F2762-F138-4A5C-976F-8EAC2B608ADB}">
                  <a16:predDERef xmlns:a16="http://schemas.microsoft.com/office/drawing/2014/main" pred="{9E385C22-572B-EB11-95DB-244C188F7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1114425</xdr:colOff>
      <xdr:row>47</xdr:row>
      <xdr:rowOff>171450</xdr:rowOff>
    </xdr:from>
    <xdr:to>
      <xdr:col>7</xdr:col>
      <xdr:colOff>447675</xdr:colOff>
      <xdr:row>62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8FB9F3E-3029-38EE-10DE-78C5C48ED839}"/>
                </a:ext>
                <a:ext uri="{147F2762-F138-4A5C-976F-8EAC2B608ADB}">
                  <a16:predDERef xmlns:a16="http://schemas.microsoft.com/office/drawing/2014/main" pred="{AEAF3D75-3E17-F7C3-306A-B1D4E9F8CE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65</xdr:row>
      <xdr:rowOff>9525</xdr:rowOff>
    </xdr:from>
    <xdr:to>
      <xdr:col>2</xdr:col>
      <xdr:colOff>1123950</xdr:colOff>
      <xdr:row>80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499505C-894C-8CB5-8607-11AE415649D7}"/>
                </a:ext>
                <a:ext uri="{147F2762-F138-4A5C-976F-8EAC2B608ADB}">
                  <a16:predDERef xmlns:a16="http://schemas.microsoft.com/office/drawing/2014/main" pred="{A8FB9F3E-3029-38EE-10DE-78C5C48ED8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64</xdr:row>
      <xdr:rowOff>152400</xdr:rowOff>
    </xdr:from>
    <xdr:to>
      <xdr:col>5</xdr:col>
      <xdr:colOff>609600</xdr:colOff>
      <xdr:row>79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C0450C5-D323-9B3A-543B-A88C728045D4}"/>
                </a:ext>
                <a:ext uri="{147F2762-F138-4A5C-976F-8EAC2B608ADB}">
                  <a16:predDERef xmlns:a16="http://schemas.microsoft.com/office/drawing/2014/main" pred="{E499505C-894C-8CB5-8607-11AE415649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123825</xdr:colOff>
      <xdr:row>82</xdr:row>
      <xdr:rowOff>161925</xdr:rowOff>
    </xdr:from>
    <xdr:to>
      <xdr:col>2</xdr:col>
      <xdr:colOff>1181100</xdr:colOff>
      <xdr:row>97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F0DD98C-EC9F-D940-AFFC-53AE3A3EF62F}"/>
                </a:ext>
                <a:ext uri="{147F2762-F138-4A5C-976F-8EAC2B608ADB}">
                  <a16:predDERef xmlns:a16="http://schemas.microsoft.com/office/drawing/2014/main" pred="{AC0450C5-D323-9B3A-543B-A88C728045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28575</xdr:colOff>
      <xdr:row>82</xdr:row>
      <xdr:rowOff>171450</xdr:rowOff>
    </xdr:from>
    <xdr:to>
      <xdr:col>5</xdr:col>
      <xdr:colOff>638175</xdr:colOff>
      <xdr:row>97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AB1841E-6B7F-F5CA-DB11-F1FB16ABC4A1}"/>
                </a:ext>
                <a:ext uri="{147F2762-F138-4A5C-976F-8EAC2B608ADB}">
                  <a16:predDERef xmlns:a16="http://schemas.microsoft.com/office/drawing/2014/main" pred="{FF0DD98C-EC9F-D940-AFFC-53AE3A3EF6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1600200</xdr:colOff>
      <xdr:row>82</xdr:row>
      <xdr:rowOff>152400</xdr:rowOff>
    </xdr:from>
    <xdr:to>
      <xdr:col>7</xdr:col>
      <xdr:colOff>933450</xdr:colOff>
      <xdr:row>97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0925049-AF26-E74C-DBEB-E2D51ED0E51D}"/>
                </a:ext>
                <a:ext uri="{147F2762-F138-4A5C-976F-8EAC2B608ADB}">
                  <a16:predDERef xmlns:a16="http://schemas.microsoft.com/office/drawing/2014/main" pred="{9AB1841E-6B7F-F5CA-DB11-F1FB16ABC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9525</xdr:colOff>
      <xdr:row>82</xdr:row>
      <xdr:rowOff>142875</xdr:rowOff>
    </xdr:from>
    <xdr:to>
      <xdr:col>14</xdr:col>
      <xdr:colOff>276225</xdr:colOff>
      <xdr:row>97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3246F9D-B05D-AACD-CC1D-EC02F5DB7892}"/>
                </a:ext>
                <a:ext uri="{147F2762-F138-4A5C-976F-8EAC2B608ADB}">
                  <a16:predDERef xmlns:a16="http://schemas.microsoft.com/office/drawing/2014/main" pred="{10925049-AF26-E74C-DBEB-E2D51ED0E5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123825</xdr:colOff>
      <xdr:row>99</xdr:row>
      <xdr:rowOff>0</xdr:rowOff>
    </xdr:from>
    <xdr:to>
      <xdr:col>2</xdr:col>
      <xdr:colOff>1181100</xdr:colOff>
      <xdr:row>113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917389B-9DC3-0E71-F787-9B28EA09273A}"/>
                </a:ext>
                <a:ext uri="{147F2762-F138-4A5C-976F-8EAC2B608ADB}">
                  <a16:predDERef xmlns:a16="http://schemas.microsoft.com/office/drawing/2014/main" pred="{43246F9D-B05D-AACD-CC1D-EC02F5DB78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FE80-1914-44EC-BF13-FB02328DDBD0}">
  <dimension ref="A1:F79"/>
  <sheetViews>
    <sheetView workbookViewId="0">
      <selection activeCell="J12" sqref="J12"/>
    </sheetView>
  </sheetViews>
  <sheetFormatPr defaultRowHeight="15"/>
  <cols>
    <col min="1" max="2" width="23.7109375" style="2" customWidth="1"/>
    <col min="3" max="3" width="28.140625" style="2" customWidth="1"/>
    <col min="4" max="4" width="29.28515625" style="2" customWidth="1"/>
    <col min="5" max="7" width="23.7109375" style="2" customWidth="1"/>
    <col min="8" max="16384" width="9.140625" style="2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18200</v>
      </c>
      <c r="B2" s="2">
        <v>1200</v>
      </c>
      <c r="C2" s="2">
        <v>6</v>
      </c>
      <c r="D2" s="2">
        <v>5</v>
      </c>
      <c r="E2" s="2">
        <v>420</v>
      </c>
      <c r="F2" s="2" t="s">
        <v>6</v>
      </c>
    </row>
    <row r="3" spans="1:6">
      <c r="A3" s="2">
        <v>26500</v>
      </c>
      <c r="B3" s="2">
        <v>2500</v>
      </c>
      <c r="C3" s="2">
        <v>10</v>
      </c>
      <c r="D3" s="2">
        <v>12</v>
      </c>
      <c r="E3" s="2">
        <v>610</v>
      </c>
      <c r="F3" s="2" t="s">
        <v>7</v>
      </c>
    </row>
    <row r="4" spans="1:6">
      <c r="A4" s="2">
        <v>9400</v>
      </c>
      <c r="B4" s="2">
        <v>500</v>
      </c>
      <c r="C4" s="2">
        <v>3</v>
      </c>
      <c r="D4" s="2">
        <v>8</v>
      </c>
      <c r="E4" s="2">
        <v>210</v>
      </c>
      <c r="F4" s="2" t="s">
        <v>8</v>
      </c>
    </row>
    <row r="5" spans="1:6">
      <c r="A5" s="2">
        <v>31200</v>
      </c>
      <c r="B5" s="2">
        <v>4200</v>
      </c>
      <c r="C5" s="2">
        <v>15</v>
      </c>
      <c r="D5" s="2">
        <v>10</v>
      </c>
      <c r="E5" s="2">
        <v>780</v>
      </c>
      <c r="F5" s="2" t="s">
        <v>9</v>
      </c>
    </row>
    <row r="6" spans="1:6">
      <c r="A6" s="2">
        <v>22400</v>
      </c>
      <c r="B6" s="2">
        <v>1800</v>
      </c>
      <c r="C6" s="2">
        <v>7</v>
      </c>
      <c r="D6" s="2">
        <v>6</v>
      </c>
      <c r="E6" s="2">
        <v>520</v>
      </c>
      <c r="F6" s="2" t="s">
        <v>6</v>
      </c>
    </row>
    <row r="7" spans="1:6">
      <c r="A7" s="2">
        <v>40100</v>
      </c>
      <c r="B7" s="2">
        <v>6000</v>
      </c>
      <c r="C7" s="2">
        <v>20</v>
      </c>
      <c r="D7" s="2">
        <v>15</v>
      </c>
      <c r="E7" s="2">
        <v>980</v>
      </c>
      <c r="F7" s="2" t="s">
        <v>7</v>
      </c>
    </row>
    <row r="8" spans="1:6">
      <c r="A8" s="2">
        <v>15000</v>
      </c>
      <c r="B8" s="2">
        <v>900</v>
      </c>
      <c r="C8" s="2">
        <v>5</v>
      </c>
      <c r="D8" s="2">
        <v>5</v>
      </c>
      <c r="E8" s="2">
        <v>340</v>
      </c>
      <c r="F8" s="2" t="s">
        <v>10</v>
      </c>
    </row>
    <row r="9" spans="1:6">
      <c r="A9" s="2">
        <v>27800</v>
      </c>
      <c r="B9" s="2">
        <v>3100</v>
      </c>
      <c r="C9" s="2">
        <v>11</v>
      </c>
      <c r="D9" s="2">
        <v>9</v>
      </c>
      <c r="E9" s="2">
        <v>670</v>
      </c>
      <c r="F9" s="2" t="s">
        <v>9</v>
      </c>
    </row>
    <row r="10" spans="1:6">
      <c r="A10" s="2">
        <v>19800</v>
      </c>
      <c r="B10" s="2">
        <v>1400</v>
      </c>
      <c r="C10" s="2">
        <v>8</v>
      </c>
      <c r="D10" s="2">
        <v>7</v>
      </c>
      <c r="E10" s="2">
        <v>470</v>
      </c>
      <c r="F10" s="2" t="s">
        <v>6</v>
      </c>
    </row>
    <row r="11" spans="1:6">
      <c r="A11" s="2">
        <v>35700</v>
      </c>
      <c r="B11" s="2">
        <v>5200</v>
      </c>
      <c r="C11" s="2">
        <v>18</v>
      </c>
      <c r="D11" s="2">
        <v>13</v>
      </c>
      <c r="E11" s="2">
        <v>880</v>
      </c>
      <c r="F11" s="2" t="s">
        <v>7</v>
      </c>
    </row>
    <row r="12" spans="1:6">
      <c r="A12" s="2">
        <v>8700</v>
      </c>
      <c r="B12" s="2">
        <v>450</v>
      </c>
      <c r="C12" s="2">
        <v>2</v>
      </c>
      <c r="D12" s="2">
        <v>6</v>
      </c>
      <c r="E12" s="2">
        <v>180</v>
      </c>
      <c r="F12" s="2" t="s">
        <v>8</v>
      </c>
    </row>
    <row r="13" spans="1:6">
      <c r="A13" s="2">
        <v>29600</v>
      </c>
      <c r="B13" s="2">
        <v>3600</v>
      </c>
      <c r="C13" s="2">
        <v>13</v>
      </c>
      <c r="D13" s="2">
        <v>11</v>
      </c>
      <c r="E13" s="2">
        <v>720</v>
      </c>
      <c r="F13" s="2" t="s">
        <v>9</v>
      </c>
    </row>
    <row r="14" spans="1:6">
      <c r="A14" s="2">
        <v>24300</v>
      </c>
      <c r="B14" s="2">
        <v>2100</v>
      </c>
      <c r="C14" s="2">
        <v>9</v>
      </c>
      <c r="D14" s="2">
        <v>8</v>
      </c>
      <c r="E14" s="2">
        <v>560</v>
      </c>
      <c r="F14" s="2" t="s">
        <v>6</v>
      </c>
    </row>
    <row r="15" spans="1:6">
      <c r="A15" s="2">
        <v>41500</v>
      </c>
      <c r="B15" s="2">
        <v>6500</v>
      </c>
      <c r="C15" s="2">
        <v>21</v>
      </c>
      <c r="D15" s="2">
        <v>14</v>
      </c>
      <c r="E15" s="2">
        <v>1020</v>
      </c>
      <c r="F15" s="2" t="s">
        <v>7</v>
      </c>
    </row>
    <row r="16" spans="1:6">
      <c r="A16" s="2">
        <v>13200</v>
      </c>
      <c r="B16" s="2">
        <v>800</v>
      </c>
      <c r="C16" s="2">
        <v>4</v>
      </c>
      <c r="D16" s="2">
        <v>4</v>
      </c>
      <c r="E16" s="2">
        <v>290</v>
      </c>
      <c r="F16" s="2" t="s">
        <v>10</v>
      </c>
    </row>
    <row r="17" spans="1:6">
      <c r="A17" s="2">
        <v>26800</v>
      </c>
      <c r="B17" s="2">
        <v>3000</v>
      </c>
      <c r="C17" s="2">
        <v>12</v>
      </c>
      <c r="D17" s="2">
        <v>10</v>
      </c>
      <c r="E17" s="2">
        <v>640</v>
      </c>
      <c r="F17" s="2" t="s">
        <v>9</v>
      </c>
    </row>
    <row r="18" spans="1:6">
      <c r="A18" s="2">
        <v>20700</v>
      </c>
      <c r="B18" s="2">
        <v>1600</v>
      </c>
      <c r="C18" s="2">
        <v>7</v>
      </c>
      <c r="D18" s="2">
        <v>9</v>
      </c>
      <c r="E18" s="2">
        <v>480</v>
      </c>
      <c r="F18" s="2" t="s">
        <v>6</v>
      </c>
    </row>
    <row r="19" spans="1:6">
      <c r="A19" s="2">
        <v>38900</v>
      </c>
      <c r="B19" s="2">
        <v>5700</v>
      </c>
      <c r="C19" s="2">
        <v>19</v>
      </c>
      <c r="D19" s="2">
        <v>12</v>
      </c>
      <c r="E19" s="2">
        <v>940</v>
      </c>
      <c r="F19" s="2" t="s">
        <v>7</v>
      </c>
    </row>
    <row r="20" spans="1:6">
      <c r="A20" s="2">
        <v>9100</v>
      </c>
      <c r="B20" s="2">
        <v>520</v>
      </c>
      <c r="C20" s="2">
        <v>3</v>
      </c>
      <c r="D20" s="2">
        <v>7</v>
      </c>
      <c r="E20" s="2">
        <v>200</v>
      </c>
      <c r="F20" s="2" t="s">
        <v>8</v>
      </c>
    </row>
    <row r="21" spans="1:6">
      <c r="A21" s="2">
        <v>32400</v>
      </c>
      <c r="B21" s="2">
        <v>4400</v>
      </c>
      <c r="C21" s="2">
        <v>16</v>
      </c>
      <c r="D21" s="2">
        <v>11</v>
      </c>
      <c r="E21" s="2">
        <v>810</v>
      </c>
      <c r="F21" s="2" t="s">
        <v>9</v>
      </c>
    </row>
    <row r="22" spans="1:6">
      <c r="A22" s="2">
        <v>22100</v>
      </c>
      <c r="B22" s="2">
        <v>1700</v>
      </c>
      <c r="C22" s="2">
        <v>6</v>
      </c>
      <c r="D22" s="2">
        <v>6</v>
      </c>
      <c r="E22" s="2">
        <v>510</v>
      </c>
      <c r="F22" s="2" t="s">
        <v>6</v>
      </c>
    </row>
    <row r="23" spans="1:6">
      <c r="A23" s="2">
        <v>43200</v>
      </c>
      <c r="B23" s="2">
        <v>7200</v>
      </c>
      <c r="C23" s="2">
        <v>23</v>
      </c>
      <c r="D23" s="2">
        <v>16</v>
      </c>
      <c r="E23" s="2">
        <v>1080</v>
      </c>
      <c r="F23" s="2" t="s">
        <v>7</v>
      </c>
    </row>
    <row r="24" spans="1:6">
      <c r="A24" s="2">
        <v>14700</v>
      </c>
      <c r="B24" s="2">
        <v>850</v>
      </c>
      <c r="C24" s="2">
        <v>4</v>
      </c>
      <c r="D24" s="2">
        <v>5</v>
      </c>
      <c r="E24" s="2">
        <v>320</v>
      </c>
      <c r="F24" s="2" t="s">
        <v>10</v>
      </c>
    </row>
    <row r="25" spans="1:6">
      <c r="A25" s="2">
        <v>28300</v>
      </c>
      <c r="B25" s="2">
        <v>3300</v>
      </c>
      <c r="C25" s="2">
        <v>12</v>
      </c>
      <c r="D25" s="2">
        <v>10</v>
      </c>
      <c r="E25" s="2">
        <v>690</v>
      </c>
      <c r="F25" s="2" t="s">
        <v>9</v>
      </c>
    </row>
    <row r="26" spans="1:6">
      <c r="A26" s="2">
        <v>20500</v>
      </c>
      <c r="B26" s="2">
        <v>1500</v>
      </c>
      <c r="C26" s="2">
        <v>7</v>
      </c>
      <c r="D26" s="2">
        <v>8</v>
      </c>
      <c r="E26" s="2">
        <v>460</v>
      </c>
      <c r="F26" s="2" t="s">
        <v>6</v>
      </c>
    </row>
    <row r="27" spans="1:6">
      <c r="A27" s="2">
        <v>37100</v>
      </c>
      <c r="B27" s="2">
        <v>5400</v>
      </c>
      <c r="C27" s="2">
        <v>18</v>
      </c>
      <c r="D27" s="2">
        <v>12</v>
      </c>
      <c r="E27" s="2">
        <v>900</v>
      </c>
      <c r="F27" s="2" t="s">
        <v>7</v>
      </c>
    </row>
    <row r="28" spans="1:6">
      <c r="A28" s="2">
        <v>9800</v>
      </c>
      <c r="B28" s="2">
        <v>600</v>
      </c>
      <c r="C28" s="2">
        <v>3</v>
      </c>
      <c r="D28" s="2">
        <v>9</v>
      </c>
      <c r="E28" s="2">
        <v>230</v>
      </c>
      <c r="F28" s="2" t="s">
        <v>8</v>
      </c>
    </row>
    <row r="29" spans="1:6">
      <c r="A29" s="2">
        <v>30500</v>
      </c>
      <c r="B29" s="2">
        <v>3900</v>
      </c>
      <c r="C29" s="2">
        <v>14</v>
      </c>
      <c r="D29" s="2">
        <v>11</v>
      </c>
      <c r="E29" s="2">
        <v>740</v>
      </c>
      <c r="F29" s="2" t="s">
        <v>9</v>
      </c>
    </row>
    <row r="30" spans="1:6">
      <c r="A30" s="2">
        <v>23600</v>
      </c>
      <c r="B30" s="2">
        <v>2000</v>
      </c>
      <c r="C30" s="2">
        <v>9</v>
      </c>
      <c r="D30" s="2">
        <v>7</v>
      </c>
      <c r="E30" s="2">
        <v>540</v>
      </c>
      <c r="F30" s="2" t="s">
        <v>6</v>
      </c>
    </row>
    <row r="31" spans="1:6">
      <c r="A31" s="2">
        <v>41800</v>
      </c>
      <c r="B31" s="2">
        <v>6800</v>
      </c>
      <c r="C31" s="2">
        <v>22</v>
      </c>
      <c r="D31" s="2">
        <v>15</v>
      </c>
      <c r="E31" s="2">
        <v>1010</v>
      </c>
      <c r="F31" s="2" t="s">
        <v>7</v>
      </c>
    </row>
    <row r="32" spans="1:6">
      <c r="A32" s="2">
        <v>15900</v>
      </c>
      <c r="B32" s="2">
        <v>950</v>
      </c>
      <c r="C32" s="2">
        <v>5</v>
      </c>
      <c r="D32" s="2">
        <v>6</v>
      </c>
      <c r="E32" s="2">
        <v>350</v>
      </c>
      <c r="F32" s="2" t="s">
        <v>10</v>
      </c>
    </row>
    <row r="33" spans="1:6">
      <c r="A33" s="2">
        <v>27400</v>
      </c>
      <c r="B33" s="2">
        <v>3200</v>
      </c>
      <c r="C33" s="2">
        <v>11</v>
      </c>
      <c r="D33" s="2">
        <v>9</v>
      </c>
      <c r="E33" s="2">
        <v>660</v>
      </c>
      <c r="F33" s="2" t="s">
        <v>9</v>
      </c>
    </row>
    <row r="34" spans="1:6">
      <c r="A34" s="2">
        <v>21200</v>
      </c>
      <c r="B34" s="2">
        <v>1550</v>
      </c>
      <c r="C34" s="2">
        <v>8</v>
      </c>
      <c r="D34" s="2">
        <v>8</v>
      </c>
      <c r="E34" s="2">
        <v>490</v>
      </c>
      <c r="F34" s="2" t="s">
        <v>6</v>
      </c>
    </row>
    <row r="35" spans="1:6">
      <c r="A35" s="2">
        <v>39600</v>
      </c>
      <c r="B35" s="2">
        <v>6100</v>
      </c>
      <c r="C35" s="2">
        <v>20</v>
      </c>
      <c r="D35" s="2">
        <v>13</v>
      </c>
      <c r="E35" s="2">
        <v>970</v>
      </c>
      <c r="F35" s="2" t="s">
        <v>7</v>
      </c>
    </row>
    <row r="36" spans="1:6">
      <c r="A36" s="2">
        <v>10300</v>
      </c>
      <c r="B36" s="2">
        <v>650</v>
      </c>
      <c r="C36" s="2">
        <v>3</v>
      </c>
      <c r="D36" s="2">
        <v>10</v>
      </c>
      <c r="E36" s="2">
        <v>250</v>
      </c>
      <c r="F36" s="2" t="s">
        <v>8</v>
      </c>
    </row>
    <row r="37" spans="1:6">
      <c r="A37" s="2">
        <v>33200</v>
      </c>
      <c r="B37" s="2">
        <v>4500</v>
      </c>
      <c r="C37" s="2">
        <v>16</v>
      </c>
      <c r="D37" s="2">
        <v>12</v>
      </c>
      <c r="E37" s="2">
        <v>820</v>
      </c>
      <c r="F37" s="2" t="s">
        <v>9</v>
      </c>
    </row>
    <row r="38" spans="1:6">
      <c r="A38" s="2">
        <v>22800</v>
      </c>
      <c r="B38" s="2">
        <v>1900</v>
      </c>
      <c r="C38" s="2">
        <v>9</v>
      </c>
      <c r="D38" s="2">
        <v>7</v>
      </c>
      <c r="E38" s="2">
        <v>530</v>
      </c>
      <c r="F38" s="2" t="s">
        <v>6</v>
      </c>
    </row>
    <row r="39" spans="1:6">
      <c r="A39" s="2">
        <v>44700</v>
      </c>
      <c r="B39" s="2">
        <v>7600</v>
      </c>
      <c r="C39" s="2">
        <v>24</v>
      </c>
      <c r="D39" s="2">
        <v>17</v>
      </c>
      <c r="E39" s="2">
        <v>1120</v>
      </c>
      <c r="F39" s="2" t="s">
        <v>7</v>
      </c>
    </row>
    <row r="40" spans="1:6">
      <c r="A40" s="2">
        <v>16400</v>
      </c>
      <c r="B40" s="2">
        <v>1000</v>
      </c>
      <c r="C40" s="2">
        <v>5</v>
      </c>
      <c r="D40" s="2">
        <v>5</v>
      </c>
      <c r="E40" s="2">
        <v>360</v>
      </c>
      <c r="F40" s="2" t="s">
        <v>10</v>
      </c>
    </row>
    <row r="41" spans="1:6">
      <c r="A41" s="2">
        <v>28900</v>
      </c>
      <c r="B41" s="2">
        <v>3400</v>
      </c>
      <c r="C41" s="2">
        <v>13</v>
      </c>
      <c r="D41" s="2">
        <v>10</v>
      </c>
      <c r="E41" s="2">
        <v>700</v>
      </c>
      <c r="F41" s="2" t="s">
        <v>9</v>
      </c>
    </row>
    <row r="42" spans="1:6">
      <c r="A42" s="2">
        <v>21800</v>
      </c>
      <c r="B42" s="2">
        <v>1650</v>
      </c>
      <c r="C42" s="2">
        <v>8</v>
      </c>
      <c r="D42" s="2">
        <v>9</v>
      </c>
      <c r="E42" s="2">
        <v>500</v>
      </c>
      <c r="F42" s="2" t="s">
        <v>6</v>
      </c>
    </row>
    <row r="43" spans="1:6">
      <c r="A43" s="2">
        <v>37800</v>
      </c>
      <c r="B43" s="2">
        <v>5600</v>
      </c>
      <c r="C43" s="2">
        <v>19</v>
      </c>
      <c r="D43" s="2">
        <v>13</v>
      </c>
      <c r="E43" s="2">
        <v>920</v>
      </c>
      <c r="F43" s="2" t="s">
        <v>7</v>
      </c>
    </row>
    <row r="44" spans="1:6">
      <c r="A44" s="2">
        <v>11200</v>
      </c>
      <c r="B44" s="2">
        <v>700</v>
      </c>
      <c r="C44" s="2">
        <v>4</v>
      </c>
      <c r="D44" s="2">
        <v>8</v>
      </c>
      <c r="E44" s="2">
        <v>270</v>
      </c>
      <c r="F44" s="2" t="s">
        <v>8</v>
      </c>
    </row>
    <row r="45" spans="1:6">
      <c r="A45" s="2">
        <v>31400</v>
      </c>
      <c r="B45" s="2">
        <v>4100</v>
      </c>
      <c r="C45" s="2">
        <v>15</v>
      </c>
      <c r="D45" s="2">
        <v>11</v>
      </c>
      <c r="E45" s="2">
        <v>770</v>
      </c>
      <c r="F45" s="2" t="s">
        <v>9</v>
      </c>
    </row>
    <row r="46" spans="1:6">
      <c r="A46" s="2">
        <v>24100</v>
      </c>
      <c r="B46" s="2">
        <v>2050</v>
      </c>
      <c r="C46" s="2">
        <v>9</v>
      </c>
      <c r="D46" s="2">
        <v>7</v>
      </c>
      <c r="E46" s="2">
        <v>550</v>
      </c>
      <c r="F46" s="2" t="s">
        <v>6</v>
      </c>
    </row>
    <row r="47" spans="1:6">
      <c r="A47" s="2">
        <v>42600</v>
      </c>
      <c r="B47" s="2">
        <v>7000</v>
      </c>
      <c r="C47" s="2">
        <v>22</v>
      </c>
      <c r="D47" s="2">
        <v>16</v>
      </c>
      <c r="E47" s="2">
        <v>1040</v>
      </c>
      <c r="F47" s="2" t="s">
        <v>7</v>
      </c>
    </row>
    <row r="48" spans="1:6">
      <c r="A48" s="2">
        <v>17100</v>
      </c>
      <c r="B48" s="2">
        <v>1050</v>
      </c>
      <c r="C48" s="2">
        <v>6</v>
      </c>
      <c r="D48" s="2">
        <v>6</v>
      </c>
      <c r="E48" s="2">
        <v>380</v>
      </c>
      <c r="F48" s="2" t="s">
        <v>10</v>
      </c>
    </row>
    <row r="49" spans="1:6">
      <c r="A49" s="2">
        <v>29400</v>
      </c>
      <c r="B49" s="2">
        <v>3500</v>
      </c>
      <c r="C49" s="2">
        <v>13</v>
      </c>
      <c r="D49" s="2">
        <v>10</v>
      </c>
      <c r="E49" s="2">
        <v>710</v>
      </c>
      <c r="F49" s="2" t="s">
        <v>9</v>
      </c>
    </row>
    <row r="50" spans="1:6">
      <c r="A50" s="2">
        <v>22300</v>
      </c>
      <c r="B50" s="2">
        <v>1750</v>
      </c>
      <c r="C50" s="2">
        <v>8</v>
      </c>
      <c r="D50" s="2">
        <v>8</v>
      </c>
      <c r="E50" s="2">
        <v>510</v>
      </c>
      <c r="F50" s="2" t="s">
        <v>6</v>
      </c>
    </row>
    <row r="51" spans="1:6">
      <c r="A51" s="2">
        <v>38400</v>
      </c>
      <c r="B51" s="2">
        <v>5800</v>
      </c>
      <c r="C51" s="2">
        <v>19</v>
      </c>
      <c r="D51" s="2">
        <v>12</v>
      </c>
      <c r="E51" s="2">
        <v>950</v>
      </c>
      <c r="F51" s="2" t="s">
        <v>7</v>
      </c>
    </row>
    <row r="52" spans="1:6">
      <c r="A52" s="2">
        <v>11800</v>
      </c>
      <c r="B52" s="2">
        <v>720</v>
      </c>
      <c r="C52" s="2">
        <v>4</v>
      </c>
      <c r="D52" s="2">
        <v>9</v>
      </c>
      <c r="E52" s="2">
        <v>280</v>
      </c>
      <c r="F52" s="2" t="s">
        <v>8</v>
      </c>
    </row>
    <row r="53" spans="1:6">
      <c r="A53" s="2">
        <v>32700</v>
      </c>
      <c r="B53" s="2">
        <v>4300</v>
      </c>
      <c r="C53" s="2">
        <v>16</v>
      </c>
      <c r="D53" s="2">
        <v>11</v>
      </c>
      <c r="E53" s="2">
        <v>800</v>
      </c>
      <c r="F53" s="2" t="s">
        <v>9</v>
      </c>
    </row>
    <row r="54" spans="1:6">
      <c r="A54" s="2">
        <v>24900</v>
      </c>
      <c r="B54" s="2">
        <v>2150</v>
      </c>
      <c r="C54" s="2">
        <v>10</v>
      </c>
      <c r="D54" s="2">
        <v>8</v>
      </c>
      <c r="E54" s="2">
        <v>570</v>
      </c>
      <c r="F54" s="2" t="s">
        <v>6</v>
      </c>
    </row>
    <row r="55" spans="1:6">
      <c r="A55" s="2">
        <v>43800</v>
      </c>
      <c r="B55" s="2">
        <v>7300</v>
      </c>
      <c r="C55" s="2">
        <v>23</v>
      </c>
      <c r="D55" s="2">
        <v>16</v>
      </c>
      <c r="E55" s="2">
        <v>1090</v>
      </c>
      <c r="F55" s="2" t="s">
        <v>7</v>
      </c>
    </row>
    <row r="56" spans="1:6">
      <c r="A56" s="2">
        <v>17600</v>
      </c>
      <c r="B56" s="2">
        <v>1100</v>
      </c>
      <c r="C56" s="2">
        <v>6</v>
      </c>
      <c r="D56" s="2">
        <v>6</v>
      </c>
      <c r="E56" s="2">
        <v>390</v>
      </c>
      <c r="F56" s="2" t="s">
        <v>10</v>
      </c>
    </row>
    <row r="57" spans="1:6">
      <c r="A57" s="2">
        <v>30100</v>
      </c>
      <c r="B57" s="2">
        <v>3700</v>
      </c>
      <c r="C57" s="2">
        <v>14</v>
      </c>
      <c r="D57" s="2">
        <v>10</v>
      </c>
      <c r="E57" s="2">
        <v>730</v>
      </c>
      <c r="F57" s="2" t="s">
        <v>9</v>
      </c>
    </row>
    <row r="58" spans="1:6">
      <c r="A58" s="2">
        <v>23200</v>
      </c>
      <c r="B58" s="2">
        <v>1850</v>
      </c>
      <c r="C58" s="2">
        <v>9</v>
      </c>
      <c r="D58" s="2">
        <v>7</v>
      </c>
      <c r="E58" s="2">
        <v>540</v>
      </c>
      <c r="F58" s="2" t="s">
        <v>6</v>
      </c>
    </row>
    <row r="59" spans="1:6">
      <c r="A59" s="2">
        <v>39200</v>
      </c>
      <c r="B59" s="2">
        <v>6000</v>
      </c>
      <c r="C59" s="2">
        <v>20</v>
      </c>
      <c r="D59" s="2">
        <v>13</v>
      </c>
      <c r="E59" s="2">
        <v>960</v>
      </c>
      <c r="F59" s="2" t="s">
        <v>7</v>
      </c>
    </row>
    <row r="60" spans="1:6">
      <c r="A60" s="2">
        <v>12100</v>
      </c>
      <c r="B60" s="2">
        <v>750</v>
      </c>
      <c r="C60" s="2">
        <v>4</v>
      </c>
      <c r="D60" s="2">
        <v>8</v>
      </c>
      <c r="E60" s="2">
        <v>300</v>
      </c>
      <c r="F60" s="2" t="s">
        <v>8</v>
      </c>
    </row>
    <row r="61" spans="1:6">
      <c r="A61" s="2">
        <v>33800</v>
      </c>
      <c r="B61" s="2">
        <v>4600</v>
      </c>
      <c r="C61" s="2">
        <v>17</v>
      </c>
      <c r="D61" s="2">
        <v>12</v>
      </c>
      <c r="E61" s="2">
        <v>830</v>
      </c>
      <c r="F61" s="2" t="s">
        <v>9</v>
      </c>
    </row>
    <row r="62" spans="1:6">
      <c r="A62" s="2">
        <v>25400</v>
      </c>
      <c r="B62" s="2">
        <v>2200</v>
      </c>
      <c r="C62" s="2">
        <v>10</v>
      </c>
      <c r="D62" s="2">
        <v>9</v>
      </c>
      <c r="E62" s="2">
        <v>580</v>
      </c>
      <c r="F62" s="2" t="s">
        <v>6</v>
      </c>
    </row>
    <row r="63" spans="1:6">
      <c r="A63" s="2">
        <v>45200</v>
      </c>
      <c r="B63" s="2">
        <v>7800</v>
      </c>
      <c r="C63" s="2">
        <v>25</v>
      </c>
      <c r="D63" s="2">
        <v>18</v>
      </c>
      <c r="E63" s="2">
        <v>1150</v>
      </c>
      <c r="F63" s="2" t="s">
        <v>7</v>
      </c>
    </row>
    <row r="64" spans="1:6">
      <c r="A64" s="2">
        <v>18300</v>
      </c>
      <c r="B64" s="2">
        <v>1200</v>
      </c>
      <c r="C64" s="2">
        <v>6</v>
      </c>
      <c r="D64" s="2">
        <v>7</v>
      </c>
      <c r="E64" s="2">
        <v>410</v>
      </c>
      <c r="F64" s="2" t="s">
        <v>10</v>
      </c>
    </row>
    <row r="65" spans="1:6">
      <c r="A65" s="2">
        <v>30900</v>
      </c>
      <c r="B65" s="2">
        <v>3950</v>
      </c>
      <c r="C65" s="2">
        <v>15</v>
      </c>
      <c r="D65" s="2">
        <v>11</v>
      </c>
      <c r="E65" s="2">
        <v>750</v>
      </c>
      <c r="F65" s="2" t="s">
        <v>9</v>
      </c>
    </row>
    <row r="66" spans="1:6">
      <c r="A66" s="2">
        <v>23700</v>
      </c>
      <c r="B66" s="2">
        <v>1950</v>
      </c>
      <c r="C66" s="2">
        <v>9</v>
      </c>
      <c r="D66" s="2">
        <v>8</v>
      </c>
      <c r="E66" s="2">
        <v>560</v>
      </c>
      <c r="F66" s="2" t="s">
        <v>6</v>
      </c>
    </row>
    <row r="67" spans="1:6">
      <c r="A67" s="2">
        <v>40100</v>
      </c>
      <c r="B67" s="2">
        <v>6200</v>
      </c>
      <c r="C67" s="2">
        <v>21</v>
      </c>
      <c r="D67" s="2">
        <v>14</v>
      </c>
      <c r="E67" s="2">
        <v>990</v>
      </c>
      <c r="F67" s="2" t="s">
        <v>7</v>
      </c>
    </row>
    <row r="68" spans="1:6">
      <c r="A68" s="2">
        <v>12600</v>
      </c>
      <c r="B68" s="2">
        <v>780</v>
      </c>
      <c r="C68" s="2">
        <v>4</v>
      </c>
      <c r="D68" s="2">
        <v>9</v>
      </c>
      <c r="E68" s="2">
        <v>310</v>
      </c>
      <c r="F68" s="2" t="s">
        <v>8</v>
      </c>
    </row>
    <row r="69" spans="1:6">
      <c r="A69" s="2">
        <v>34300</v>
      </c>
      <c r="B69" s="2">
        <v>4700</v>
      </c>
      <c r="C69" s="2">
        <v>17</v>
      </c>
      <c r="D69" s="2">
        <v>12</v>
      </c>
      <c r="E69" s="2">
        <v>840</v>
      </c>
      <c r="F69" s="2" t="s">
        <v>9</v>
      </c>
    </row>
    <row r="70" spans="1:6">
      <c r="A70" s="2">
        <v>26100</v>
      </c>
      <c r="B70" s="2">
        <v>2300</v>
      </c>
      <c r="C70" s="2">
        <v>10</v>
      </c>
      <c r="D70" s="2">
        <v>8</v>
      </c>
      <c r="E70" s="2">
        <v>600</v>
      </c>
      <c r="F70" s="2" t="s">
        <v>6</v>
      </c>
    </row>
    <row r="71" spans="1:6">
      <c r="A71" s="2">
        <v>46800</v>
      </c>
      <c r="B71" s="2">
        <v>8200</v>
      </c>
      <c r="C71" s="2">
        <v>26</v>
      </c>
      <c r="D71" s="2">
        <v>19</v>
      </c>
      <c r="E71" s="2">
        <v>1180</v>
      </c>
      <c r="F71" s="2" t="s">
        <v>7</v>
      </c>
    </row>
    <row r="72" spans="1:6">
      <c r="A72" s="2">
        <v>19100</v>
      </c>
      <c r="B72" s="2">
        <v>1300</v>
      </c>
      <c r="C72" s="2">
        <v>7</v>
      </c>
      <c r="D72" s="2">
        <v>7</v>
      </c>
      <c r="E72" s="2">
        <v>430</v>
      </c>
      <c r="F72" s="2" t="s">
        <v>10</v>
      </c>
    </row>
    <row r="73" spans="1:6">
      <c r="A73" s="2">
        <v>31600</v>
      </c>
      <c r="B73" s="2">
        <v>4050</v>
      </c>
      <c r="C73" s="2">
        <v>15</v>
      </c>
      <c r="D73" s="2">
        <v>11</v>
      </c>
      <c r="E73" s="2">
        <v>760</v>
      </c>
      <c r="F73" s="2" t="s">
        <v>9</v>
      </c>
    </row>
    <row r="74" spans="1:6">
      <c r="A74" s="2">
        <v>24400</v>
      </c>
      <c r="B74" s="2">
        <v>2050</v>
      </c>
      <c r="C74" s="2">
        <v>9</v>
      </c>
      <c r="D74" s="2">
        <v>8</v>
      </c>
      <c r="E74" s="2">
        <v>560</v>
      </c>
      <c r="F74" s="2" t="s">
        <v>6</v>
      </c>
    </row>
    <row r="75" spans="1:6">
      <c r="A75" s="2">
        <v>40900</v>
      </c>
      <c r="B75" s="2">
        <v>6400</v>
      </c>
      <c r="C75" s="2">
        <v>21</v>
      </c>
      <c r="D75" s="2">
        <v>14</v>
      </c>
      <c r="E75" s="2">
        <v>1000</v>
      </c>
      <c r="F75" s="2" t="s">
        <v>7</v>
      </c>
    </row>
    <row r="76" spans="1:6">
      <c r="A76" s="2">
        <v>13400</v>
      </c>
      <c r="B76" s="2">
        <v>820</v>
      </c>
      <c r="C76" s="2">
        <v>4</v>
      </c>
      <c r="D76" s="2">
        <v>10</v>
      </c>
      <c r="E76" s="2">
        <v>320</v>
      </c>
      <c r="F76" s="2" t="s">
        <v>8</v>
      </c>
    </row>
    <row r="77" spans="1:6">
      <c r="A77" s="2">
        <v>35100</v>
      </c>
      <c r="B77" s="2">
        <v>4800</v>
      </c>
      <c r="C77" s="2">
        <v>18</v>
      </c>
      <c r="D77" s="2">
        <v>12</v>
      </c>
      <c r="E77" s="2">
        <v>850</v>
      </c>
      <c r="F77" s="2" t="s">
        <v>9</v>
      </c>
    </row>
    <row r="78" spans="1:6">
      <c r="A78" s="2">
        <v>26800</v>
      </c>
      <c r="B78" s="2">
        <v>2400</v>
      </c>
      <c r="C78" s="2">
        <v>11</v>
      </c>
      <c r="D78" s="2">
        <v>9</v>
      </c>
      <c r="E78" s="2">
        <v>620</v>
      </c>
      <c r="F78" s="2" t="s">
        <v>6</v>
      </c>
    </row>
    <row r="79" spans="1:6">
      <c r="A79" s="2">
        <v>47200</v>
      </c>
      <c r="B79" s="2">
        <v>8500</v>
      </c>
      <c r="C79" s="2">
        <v>27</v>
      </c>
      <c r="D79" s="2">
        <v>20</v>
      </c>
      <c r="E79" s="2">
        <v>1200</v>
      </c>
      <c r="F79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AE54-9D2F-4A39-9F5D-901C125365B4}">
  <dimension ref="A1:I251"/>
  <sheetViews>
    <sheetView workbookViewId="0">
      <pane ySplit="1" topLeftCell="A329" activePane="bottomLeft" state="frozen"/>
      <selection pane="bottomLeft" activeCell="E243" sqref="E243"/>
    </sheetView>
  </sheetViews>
  <sheetFormatPr defaultRowHeight="15"/>
  <cols>
    <col min="1" max="9" width="21.140625" customWidth="1"/>
  </cols>
  <sheetData>
    <row r="1" spans="1:9" ht="30.75">
      <c r="A1" s="15" t="s">
        <v>0</v>
      </c>
      <c r="B1" s="1" t="s">
        <v>1</v>
      </c>
      <c r="C1" s="15" t="s">
        <v>2</v>
      </c>
      <c r="D1" s="15" t="s">
        <v>3</v>
      </c>
      <c r="E1" s="1" t="s">
        <v>4</v>
      </c>
      <c r="F1" s="1" t="s">
        <v>5</v>
      </c>
      <c r="H1" s="4" t="s">
        <v>11</v>
      </c>
      <c r="I1" s="4" t="s">
        <v>12</v>
      </c>
    </row>
    <row r="2" spans="1:9">
      <c r="A2" s="2">
        <v>26500</v>
      </c>
      <c r="B2" s="2">
        <v>2500</v>
      </c>
      <c r="C2" s="2">
        <v>10</v>
      </c>
      <c r="D2" s="2">
        <v>12</v>
      </c>
      <c r="E2" s="2">
        <v>610</v>
      </c>
      <c r="F2" s="2" t="s">
        <v>7</v>
      </c>
      <c r="H2" t="s">
        <v>7</v>
      </c>
      <c r="I2">
        <f>COUNTIF(F2:F79, "City_Center")</f>
        <v>20</v>
      </c>
    </row>
    <row r="3" spans="1:9">
      <c r="A3" s="2">
        <v>40100</v>
      </c>
      <c r="B3" s="2">
        <v>6000</v>
      </c>
      <c r="C3" s="2">
        <v>20</v>
      </c>
      <c r="D3" s="2">
        <v>15</v>
      </c>
      <c r="E3" s="2">
        <v>980</v>
      </c>
      <c r="F3" s="2" t="s">
        <v>7</v>
      </c>
      <c r="H3" t="s">
        <v>9</v>
      </c>
      <c r="I3">
        <f>COUNTIF(F2:F79, "Mall")</f>
        <v>19</v>
      </c>
    </row>
    <row r="4" spans="1:9">
      <c r="A4" s="2">
        <v>35700</v>
      </c>
      <c r="B4" s="2">
        <v>5200</v>
      </c>
      <c r="C4" s="2">
        <v>18</v>
      </c>
      <c r="D4" s="2">
        <v>13</v>
      </c>
      <c r="E4" s="2">
        <v>880</v>
      </c>
      <c r="F4" s="2" t="s">
        <v>7</v>
      </c>
      <c r="H4" t="s">
        <v>6</v>
      </c>
      <c r="I4">
        <f>COUNTIF(F2:F79, "Residential")</f>
        <v>20</v>
      </c>
    </row>
    <row r="5" spans="1:9">
      <c r="A5" s="2">
        <v>41500</v>
      </c>
      <c r="B5" s="2">
        <v>6500</v>
      </c>
      <c r="C5" s="2">
        <v>21</v>
      </c>
      <c r="D5" s="2">
        <v>14</v>
      </c>
      <c r="E5" s="2">
        <v>1020</v>
      </c>
      <c r="F5" s="2" t="s">
        <v>7</v>
      </c>
      <c r="H5" t="s">
        <v>8</v>
      </c>
      <c r="I5">
        <f>COUNTIF(F2:F79, "Rural")</f>
        <v>10</v>
      </c>
    </row>
    <row r="6" spans="1:9">
      <c r="A6" s="2">
        <v>38900</v>
      </c>
      <c r="B6" s="2">
        <v>5700</v>
      </c>
      <c r="C6" s="2">
        <v>19</v>
      </c>
      <c r="D6" s="2">
        <v>12</v>
      </c>
      <c r="E6" s="2">
        <v>940</v>
      </c>
      <c r="F6" s="2" t="s">
        <v>7</v>
      </c>
      <c r="H6" t="s">
        <v>10</v>
      </c>
      <c r="I6">
        <f>COUNTIF(F2:F79, "Small_Town")</f>
        <v>9</v>
      </c>
    </row>
    <row r="7" spans="1:9">
      <c r="A7" s="2">
        <v>43200</v>
      </c>
      <c r="B7" s="2">
        <v>7200</v>
      </c>
      <c r="C7" s="2">
        <v>23</v>
      </c>
      <c r="D7" s="2">
        <v>16</v>
      </c>
      <c r="E7" s="2">
        <v>1080</v>
      </c>
      <c r="F7" s="2" t="s">
        <v>7</v>
      </c>
    </row>
    <row r="8" spans="1:9">
      <c r="A8" s="2">
        <v>37100</v>
      </c>
      <c r="B8" s="2">
        <v>5400</v>
      </c>
      <c r="C8" s="2">
        <v>18</v>
      </c>
      <c r="D8" s="2">
        <v>12</v>
      </c>
      <c r="E8" s="2">
        <v>900</v>
      </c>
      <c r="F8" s="2" t="s">
        <v>7</v>
      </c>
    </row>
    <row r="9" spans="1:9">
      <c r="A9" s="2">
        <v>41800</v>
      </c>
      <c r="B9" s="2">
        <v>6800</v>
      </c>
      <c r="C9" s="2">
        <v>22</v>
      </c>
      <c r="D9" s="2">
        <v>15</v>
      </c>
      <c r="E9" s="2">
        <v>1010</v>
      </c>
      <c r="F9" s="2" t="s">
        <v>7</v>
      </c>
    </row>
    <row r="10" spans="1:9">
      <c r="A10" s="2">
        <v>39600</v>
      </c>
      <c r="B10" s="2">
        <v>6100</v>
      </c>
      <c r="C10" s="2">
        <v>20</v>
      </c>
      <c r="D10" s="2">
        <v>13</v>
      </c>
      <c r="E10" s="2">
        <v>970</v>
      </c>
      <c r="F10" s="2" t="s">
        <v>7</v>
      </c>
    </row>
    <row r="11" spans="1:9">
      <c r="A11" s="2">
        <v>44700</v>
      </c>
      <c r="B11" s="2">
        <v>7600</v>
      </c>
      <c r="C11" s="2">
        <v>24</v>
      </c>
      <c r="D11" s="2">
        <v>17</v>
      </c>
      <c r="E11" s="2">
        <v>1120</v>
      </c>
      <c r="F11" s="2" t="s">
        <v>7</v>
      </c>
    </row>
    <row r="12" spans="1:9">
      <c r="A12" s="2">
        <v>37800</v>
      </c>
      <c r="B12" s="2">
        <v>5600</v>
      </c>
      <c r="C12" s="2">
        <v>19</v>
      </c>
      <c r="D12" s="2">
        <v>13</v>
      </c>
      <c r="E12" s="2">
        <v>920</v>
      </c>
      <c r="F12" s="2" t="s">
        <v>7</v>
      </c>
    </row>
    <row r="13" spans="1:9">
      <c r="A13" s="2">
        <v>42600</v>
      </c>
      <c r="B13" s="2">
        <v>7000</v>
      </c>
      <c r="C13" s="2">
        <v>22</v>
      </c>
      <c r="D13" s="2">
        <v>16</v>
      </c>
      <c r="E13" s="2">
        <v>1040</v>
      </c>
      <c r="F13" s="2" t="s">
        <v>7</v>
      </c>
    </row>
    <row r="14" spans="1:9">
      <c r="A14" s="2">
        <v>38400</v>
      </c>
      <c r="B14" s="2">
        <v>5800</v>
      </c>
      <c r="C14" s="2">
        <v>19</v>
      </c>
      <c r="D14" s="2">
        <v>12</v>
      </c>
      <c r="E14" s="2">
        <v>950</v>
      </c>
      <c r="F14" s="2" t="s">
        <v>7</v>
      </c>
    </row>
    <row r="15" spans="1:9">
      <c r="A15" s="2">
        <v>43800</v>
      </c>
      <c r="B15" s="2">
        <v>7300</v>
      </c>
      <c r="C15" s="2">
        <v>23</v>
      </c>
      <c r="D15" s="2">
        <v>16</v>
      </c>
      <c r="E15" s="2">
        <v>1090</v>
      </c>
      <c r="F15" s="2" t="s">
        <v>7</v>
      </c>
    </row>
    <row r="16" spans="1:9">
      <c r="A16" s="2">
        <v>39200</v>
      </c>
      <c r="B16" s="2">
        <v>6000</v>
      </c>
      <c r="C16" s="2">
        <v>20</v>
      </c>
      <c r="D16" s="2">
        <v>13</v>
      </c>
      <c r="E16" s="2">
        <v>960</v>
      </c>
      <c r="F16" s="2" t="s">
        <v>7</v>
      </c>
    </row>
    <row r="17" spans="1:6">
      <c r="A17" s="2">
        <v>45200</v>
      </c>
      <c r="B17" s="2">
        <v>7800</v>
      </c>
      <c r="C17" s="2">
        <v>25</v>
      </c>
      <c r="D17" s="2">
        <v>18</v>
      </c>
      <c r="E17" s="2">
        <v>1150</v>
      </c>
      <c r="F17" s="2" t="s">
        <v>7</v>
      </c>
    </row>
    <row r="18" spans="1:6">
      <c r="A18" s="2">
        <v>40100</v>
      </c>
      <c r="B18" s="2">
        <v>6200</v>
      </c>
      <c r="C18" s="2">
        <v>21</v>
      </c>
      <c r="D18" s="2">
        <v>14</v>
      </c>
      <c r="E18" s="2">
        <v>990</v>
      </c>
      <c r="F18" s="2" t="s">
        <v>7</v>
      </c>
    </row>
    <row r="19" spans="1:6">
      <c r="A19" s="2">
        <v>46800</v>
      </c>
      <c r="B19" s="2">
        <v>8200</v>
      </c>
      <c r="C19" s="2">
        <v>26</v>
      </c>
      <c r="D19" s="2">
        <v>19</v>
      </c>
      <c r="E19" s="2">
        <v>1180</v>
      </c>
      <c r="F19" s="2" t="s">
        <v>7</v>
      </c>
    </row>
    <row r="20" spans="1:6">
      <c r="A20" s="2">
        <v>40900</v>
      </c>
      <c r="B20" s="2">
        <v>6400</v>
      </c>
      <c r="C20" s="2">
        <v>21</v>
      </c>
      <c r="D20" s="2">
        <v>14</v>
      </c>
      <c r="E20" s="2">
        <v>1000</v>
      </c>
      <c r="F20" s="2" t="s">
        <v>7</v>
      </c>
    </row>
    <row r="21" spans="1:6">
      <c r="A21" s="2">
        <v>47200</v>
      </c>
      <c r="B21" s="2">
        <v>8500</v>
      </c>
      <c r="C21" s="2">
        <v>27</v>
      </c>
      <c r="D21" s="2">
        <v>20</v>
      </c>
      <c r="E21" s="2">
        <v>1200</v>
      </c>
      <c r="F21" s="2" t="s">
        <v>7</v>
      </c>
    </row>
    <row r="22" spans="1:6">
      <c r="A22" s="2">
        <v>31200</v>
      </c>
      <c r="B22" s="2">
        <v>4200</v>
      </c>
      <c r="C22" s="2">
        <v>15</v>
      </c>
      <c r="D22" s="2">
        <v>10</v>
      </c>
      <c r="E22" s="2">
        <v>780</v>
      </c>
      <c r="F22" s="2" t="s">
        <v>9</v>
      </c>
    </row>
    <row r="23" spans="1:6">
      <c r="A23" s="2">
        <v>27800</v>
      </c>
      <c r="B23" s="2">
        <v>3100</v>
      </c>
      <c r="C23" s="2">
        <v>11</v>
      </c>
      <c r="D23" s="2">
        <v>9</v>
      </c>
      <c r="E23" s="2">
        <v>670</v>
      </c>
      <c r="F23" s="2" t="s">
        <v>9</v>
      </c>
    </row>
    <row r="24" spans="1:6">
      <c r="A24" s="2">
        <v>29600</v>
      </c>
      <c r="B24" s="2">
        <v>3600</v>
      </c>
      <c r="C24" s="2">
        <v>13</v>
      </c>
      <c r="D24" s="2">
        <v>11</v>
      </c>
      <c r="E24" s="2">
        <v>720</v>
      </c>
      <c r="F24" s="2" t="s">
        <v>9</v>
      </c>
    </row>
    <row r="25" spans="1:6">
      <c r="A25" s="2">
        <v>26800</v>
      </c>
      <c r="B25" s="2">
        <v>3000</v>
      </c>
      <c r="C25" s="2">
        <v>12</v>
      </c>
      <c r="D25" s="2">
        <v>10</v>
      </c>
      <c r="E25" s="2">
        <v>640</v>
      </c>
      <c r="F25" s="2" t="s">
        <v>9</v>
      </c>
    </row>
    <row r="26" spans="1:6">
      <c r="A26" s="2">
        <v>32400</v>
      </c>
      <c r="B26" s="2">
        <v>4400</v>
      </c>
      <c r="C26" s="2">
        <v>16</v>
      </c>
      <c r="D26" s="2">
        <v>11</v>
      </c>
      <c r="E26" s="2">
        <v>810</v>
      </c>
      <c r="F26" s="2" t="s">
        <v>9</v>
      </c>
    </row>
    <row r="27" spans="1:6">
      <c r="A27" s="2">
        <v>28300</v>
      </c>
      <c r="B27" s="2">
        <v>3300</v>
      </c>
      <c r="C27" s="2">
        <v>12</v>
      </c>
      <c r="D27" s="2">
        <v>10</v>
      </c>
      <c r="E27" s="2">
        <v>690</v>
      </c>
      <c r="F27" s="2" t="s">
        <v>9</v>
      </c>
    </row>
    <row r="28" spans="1:6">
      <c r="A28" s="2">
        <v>30500</v>
      </c>
      <c r="B28" s="2">
        <v>3900</v>
      </c>
      <c r="C28" s="2">
        <v>14</v>
      </c>
      <c r="D28" s="2">
        <v>11</v>
      </c>
      <c r="E28" s="2">
        <v>740</v>
      </c>
      <c r="F28" s="2" t="s">
        <v>9</v>
      </c>
    </row>
    <row r="29" spans="1:6">
      <c r="A29" s="2">
        <v>27400</v>
      </c>
      <c r="B29" s="2">
        <v>3200</v>
      </c>
      <c r="C29" s="2">
        <v>11</v>
      </c>
      <c r="D29" s="2">
        <v>9</v>
      </c>
      <c r="E29" s="2">
        <v>660</v>
      </c>
      <c r="F29" s="2" t="s">
        <v>9</v>
      </c>
    </row>
    <row r="30" spans="1:6">
      <c r="A30" s="2">
        <v>33200</v>
      </c>
      <c r="B30" s="2">
        <v>4500</v>
      </c>
      <c r="C30" s="2">
        <v>16</v>
      </c>
      <c r="D30" s="2">
        <v>12</v>
      </c>
      <c r="E30" s="2">
        <v>820</v>
      </c>
      <c r="F30" s="2" t="s">
        <v>9</v>
      </c>
    </row>
    <row r="31" spans="1:6">
      <c r="A31" s="2">
        <v>28900</v>
      </c>
      <c r="B31" s="2">
        <v>3400</v>
      </c>
      <c r="C31" s="2">
        <v>13</v>
      </c>
      <c r="D31" s="2">
        <v>10</v>
      </c>
      <c r="E31" s="2">
        <v>700</v>
      </c>
      <c r="F31" s="2" t="s">
        <v>9</v>
      </c>
    </row>
    <row r="32" spans="1:6">
      <c r="A32" s="2">
        <v>31400</v>
      </c>
      <c r="B32" s="2">
        <v>4100</v>
      </c>
      <c r="C32" s="2">
        <v>15</v>
      </c>
      <c r="D32" s="2">
        <v>11</v>
      </c>
      <c r="E32" s="2">
        <v>770</v>
      </c>
      <c r="F32" s="2" t="s">
        <v>9</v>
      </c>
    </row>
    <row r="33" spans="1:6">
      <c r="A33" s="2">
        <v>29400</v>
      </c>
      <c r="B33" s="2">
        <v>3500</v>
      </c>
      <c r="C33" s="2">
        <v>13</v>
      </c>
      <c r="D33" s="2">
        <v>10</v>
      </c>
      <c r="E33" s="2">
        <v>710</v>
      </c>
      <c r="F33" s="2" t="s">
        <v>9</v>
      </c>
    </row>
    <row r="34" spans="1:6">
      <c r="A34" s="2">
        <v>32700</v>
      </c>
      <c r="B34" s="2">
        <v>4300</v>
      </c>
      <c r="C34" s="2">
        <v>16</v>
      </c>
      <c r="D34" s="2">
        <v>11</v>
      </c>
      <c r="E34" s="2">
        <v>800</v>
      </c>
      <c r="F34" s="2" t="s">
        <v>9</v>
      </c>
    </row>
    <row r="35" spans="1:6">
      <c r="A35" s="2">
        <v>30100</v>
      </c>
      <c r="B35" s="2">
        <v>3700</v>
      </c>
      <c r="C35" s="2">
        <v>14</v>
      </c>
      <c r="D35" s="2">
        <v>10</v>
      </c>
      <c r="E35" s="2">
        <v>730</v>
      </c>
      <c r="F35" s="2" t="s">
        <v>9</v>
      </c>
    </row>
    <row r="36" spans="1:6">
      <c r="A36" s="2">
        <v>33800</v>
      </c>
      <c r="B36" s="2">
        <v>4600</v>
      </c>
      <c r="C36" s="2">
        <v>17</v>
      </c>
      <c r="D36" s="2">
        <v>12</v>
      </c>
      <c r="E36" s="2">
        <v>830</v>
      </c>
      <c r="F36" s="2" t="s">
        <v>9</v>
      </c>
    </row>
    <row r="37" spans="1:6">
      <c r="A37" s="2">
        <v>30900</v>
      </c>
      <c r="B37" s="2">
        <v>3950</v>
      </c>
      <c r="C37" s="2">
        <v>15</v>
      </c>
      <c r="D37" s="2">
        <v>11</v>
      </c>
      <c r="E37" s="2">
        <v>750</v>
      </c>
      <c r="F37" s="2" t="s">
        <v>9</v>
      </c>
    </row>
    <row r="38" spans="1:6">
      <c r="A38" s="2">
        <v>34300</v>
      </c>
      <c r="B38" s="2">
        <v>4700</v>
      </c>
      <c r="C38" s="2">
        <v>17</v>
      </c>
      <c r="D38" s="2">
        <v>12</v>
      </c>
      <c r="E38" s="2">
        <v>840</v>
      </c>
      <c r="F38" s="2" t="s">
        <v>9</v>
      </c>
    </row>
    <row r="39" spans="1:6">
      <c r="A39" s="2">
        <v>31600</v>
      </c>
      <c r="B39" s="2">
        <v>4050</v>
      </c>
      <c r="C39" s="2">
        <v>15</v>
      </c>
      <c r="D39" s="2">
        <v>11</v>
      </c>
      <c r="E39" s="2">
        <v>760</v>
      </c>
      <c r="F39" s="2" t="s">
        <v>9</v>
      </c>
    </row>
    <row r="40" spans="1:6">
      <c r="A40" s="2">
        <v>35100</v>
      </c>
      <c r="B40" s="2">
        <v>4800</v>
      </c>
      <c r="C40" s="2">
        <v>18</v>
      </c>
      <c r="D40" s="2">
        <v>12</v>
      </c>
      <c r="E40" s="2">
        <v>850</v>
      </c>
      <c r="F40" s="2" t="s">
        <v>9</v>
      </c>
    </row>
    <row r="41" spans="1:6">
      <c r="A41" s="2">
        <v>18200</v>
      </c>
      <c r="B41" s="2">
        <v>1200</v>
      </c>
      <c r="C41" s="2">
        <v>6</v>
      </c>
      <c r="D41" s="2">
        <v>5</v>
      </c>
      <c r="E41" s="2">
        <v>420</v>
      </c>
      <c r="F41" s="2" t="s">
        <v>6</v>
      </c>
    </row>
    <row r="42" spans="1:6">
      <c r="A42" s="2">
        <v>22400</v>
      </c>
      <c r="B42" s="2">
        <v>1800</v>
      </c>
      <c r="C42" s="2">
        <v>7</v>
      </c>
      <c r="D42" s="2">
        <v>6</v>
      </c>
      <c r="E42" s="2">
        <v>520</v>
      </c>
      <c r="F42" s="2" t="s">
        <v>6</v>
      </c>
    </row>
    <row r="43" spans="1:6">
      <c r="A43" s="2">
        <v>19800</v>
      </c>
      <c r="B43" s="2">
        <v>1400</v>
      </c>
      <c r="C43" s="2">
        <v>8</v>
      </c>
      <c r="D43" s="2">
        <v>7</v>
      </c>
      <c r="E43" s="2">
        <v>470</v>
      </c>
      <c r="F43" s="2" t="s">
        <v>6</v>
      </c>
    </row>
    <row r="44" spans="1:6">
      <c r="A44" s="2">
        <v>24300</v>
      </c>
      <c r="B44" s="2">
        <v>2100</v>
      </c>
      <c r="C44" s="2">
        <v>9</v>
      </c>
      <c r="D44" s="2">
        <v>8</v>
      </c>
      <c r="E44" s="2">
        <v>560</v>
      </c>
      <c r="F44" s="2" t="s">
        <v>6</v>
      </c>
    </row>
    <row r="45" spans="1:6">
      <c r="A45" s="2">
        <v>20700</v>
      </c>
      <c r="B45" s="2">
        <v>1600</v>
      </c>
      <c r="C45" s="2">
        <v>7</v>
      </c>
      <c r="D45" s="2">
        <v>9</v>
      </c>
      <c r="E45" s="2">
        <v>480</v>
      </c>
      <c r="F45" s="2" t="s">
        <v>6</v>
      </c>
    </row>
    <row r="46" spans="1:6">
      <c r="A46" s="2">
        <v>22100</v>
      </c>
      <c r="B46" s="2">
        <v>1700</v>
      </c>
      <c r="C46" s="2">
        <v>6</v>
      </c>
      <c r="D46" s="2">
        <v>6</v>
      </c>
      <c r="E46" s="2">
        <v>510</v>
      </c>
      <c r="F46" s="2" t="s">
        <v>6</v>
      </c>
    </row>
    <row r="47" spans="1:6">
      <c r="A47" s="2">
        <v>20500</v>
      </c>
      <c r="B47" s="2">
        <v>1500</v>
      </c>
      <c r="C47" s="2">
        <v>7</v>
      </c>
      <c r="D47" s="2">
        <v>8</v>
      </c>
      <c r="E47" s="2">
        <v>460</v>
      </c>
      <c r="F47" s="2" t="s">
        <v>6</v>
      </c>
    </row>
    <row r="48" spans="1:6">
      <c r="A48" s="2">
        <v>23600</v>
      </c>
      <c r="B48" s="2">
        <v>2000</v>
      </c>
      <c r="C48" s="2">
        <v>9</v>
      </c>
      <c r="D48" s="2">
        <v>7</v>
      </c>
      <c r="E48" s="2">
        <v>540</v>
      </c>
      <c r="F48" s="2" t="s">
        <v>6</v>
      </c>
    </row>
    <row r="49" spans="1:6">
      <c r="A49" s="2">
        <v>21200</v>
      </c>
      <c r="B49" s="2">
        <v>1550</v>
      </c>
      <c r="C49" s="2">
        <v>8</v>
      </c>
      <c r="D49" s="2">
        <v>8</v>
      </c>
      <c r="E49" s="2">
        <v>490</v>
      </c>
      <c r="F49" s="2" t="s">
        <v>6</v>
      </c>
    </row>
    <row r="50" spans="1:6">
      <c r="A50" s="2">
        <v>22800</v>
      </c>
      <c r="B50" s="2">
        <v>1900</v>
      </c>
      <c r="C50" s="2">
        <v>9</v>
      </c>
      <c r="D50" s="2">
        <v>7</v>
      </c>
      <c r="E50" s="2">
        <v>530</v>
      </c>
      <c r="F50" s="2" t="s">
        <v>6</v>
      </c>
    </row>
    <row r="51" spans="1:6">
      <c r="A51" s="2">
        <v>21800</v>
      </c>
      <c r="B51" s="2">
        <v>1650</v>
      </c>
      <c r="C51" s="2">
        <v>8</v>
      </c>
      <c r="D51" s="2">
        <v>9</v>
      </c>
      <c r="E51" s="2">
        <v>500</v>
      </c>
      <c r="F51" s="2" t="s">
        <v>6</v>
      </c>
    </row>
    <row r="52" spans="1:6">
      <c r="A52" s="2">
        <v>24100</v>
      </c>
      <c r="B52" s="2">
        <v>2050</v>
      </c>
      <c r="C52" s="2">
        <v>9</v>
      </c>
      <c r="D52" s="2">
        <v>7</v>
      </c>
      <c r="E52" s="2">
        <v>550</v>
      </c>
      <c r="F52" s="2" t="s">
        <v>6</v>
      </c>
    </row>
    <row r="53" spans="1:6">
      <c r="A53" s="2">
        <v>22300</v>
      </c>
      <c r="B53" s="2">
        <v>1750</v>
      </c>
      <c r="C53" s="2">
        <v>8</v>
      </c>
      <c r="D53" s="2">
        <v>8</v>
      </c>
      <c r="E53" s="2">
        <v>510</v>
      </c>
      <c r="F53" s="2" t="s">
        <v>6</v>
      </c>
    </row>
    <row r="54" spans="1:6">
      <c r="A54" s="2">
        <v>24900</v>
      </c>
      <c r="B54" s="2">
        <v>2150</v>
      </c>
      <c r="C54" s="2">
        <v>10</v>
      </c>
      <c r="D54" s="2">
        <v>8</v>
      </c>
      <c r="E54" s="2">
        <v>570</v>
      </c>
      <c r="F54" s="2" t="s">
        <v>6</v>
      </c>
    </row>
    <row r="55" spans="1:6">
      <c r="A55" s="2">
        <v>23200</v>
      </c>
      <c r="B55" s="2">
        <v>1850</v>
      </c>
      <c r="C55" s="2">
        <v>9</v>
      </c>
      <c r="D55" s="2">
        <v>7</v>
      </c>
      <c r="E55" s="2">
        <v>540</v>
      </c>
      <c r="F55" s="2" t="s">
        <v>6</v>
      </c>
    </row>
    <row r="56" spans="1:6">
      <c r="A56" s="2">
        <v>25400</v>
      </c>
      <c r="B56" s="2">
        <v>2200</v>
      </c>
      <c r="C56" s="2">
        <v>10</v>
      </c>
      <c r="D56" s="2">
        <v>9</v>
      </c>
      <c r="E56" s="2">
        <v>580</v>
      </c>
      <c r="F56" s="2" t="s">
        <v>6</v>
      </c>
    </row>
    <row r="57" spans="1:6">
      <c r="A57" s="2">
        <v>23700</v>
      </c>
      <c r="B57" s="2">
        <v>1950</v>
      </c>
      <c r="C57" s="2">
        <v>9</v>
      </c>
      <c r="D57" s="2">
        <v>8</v>
      </c>
      <c r="E57" s="2">
        <v>560</v>
      </c>
      <c r="F57" s="2" t="s">
        <v>6</v>
      </c>
    </row>
    <row r="58" spans="1:6">
      <c r="A58" s="2">
        <v>26100</v>
      </c>
      <c r="B58" s="2">
        <v>2300</v>
      </c>
      <c r="C58" s="2">
        <v>10</v>
      </c>
      <c r="D58" s="2">
        <v>8</v>
      </c>
      <c r="E58" s="2">
        <v>600</v>
      </c>
      <c r="F58" s="2" t="s">
        <v>6</v>
      </c>
    </row>
    <row r="59" spans="1:6">
      <c r="A59" s="2">
        <v>24400</v>
      </c>
      <c r="B59" s="2">
        <v>2050</v>
      </c>
      <c r="C59" s="2">
        <v>9</v>
      </c>
      <c r="D59" s="2">
        <v>8</v>
      </c>
      <c r="E59" s="2">
        <v>560</v>
      </c>
      <c r="F59" s="2" t="s">
        <v>6</v>
      </c>
    </row>
    <row r="60" spans="1:6">
      <c r="A60" s="2">
        <v>26800</v>
      </c>
      <c r="B60" s="2">
        <v>2400</v>
      </c>
      <c r="C60" s="2">
        <v>11</v>
      </c>
      <c r="D60" s="2">
        <v>9</v>
      </c>
      <c r="E60" s="2">
        <v>620</v>
      </c>
      <c r="F60" s="2" t="s">
        <v>6</v>
      </c>
    </row>
    <row r="61" spans="1:6">
      <c r="A61" s="2">
        <v>9400</v>
      </c>
      <c r="B61" s="2">
        <v>500</v>
      </c>
      <c r="C61" s="2">
        <v>3</v>
      </c>
      <c r="D61" s="2">
        <v>8</v>
      </c>
      <c r="E61" s="2">
        <v>210</v>
      </c>
      <c r="F61" s="2" t="s">
        <v>8</v>
      </c>
    </row>
    <row r="62" spans="1:6">
      <c r="A62" s="2">
        <v>8700</v>
      </c>
      <c r="B62" s="2">
        <v>450</v>
      </c>
      <c r="C62" s="2">
        <v>2</v>
      </c>
      <c r="D62" s="2">
        <v>6</v>
      </c>
      <c r="E62" s="2">
        <v>180</v>
      </c>
      <c r="F62" s="2" t="s">
        <v>8</v>
      </c>
    </row>
    <row r="63" spans="1:6">
      <c r="A63" s="2">
        <v>9100</v>
      </c>
      <c r="B63" s="2">
        <v>520</v>
      </c>
      <c r="C63" s="2">
        <v>3</v>
      </c>
      <c r="D63" s="2">
        <v>7</v>
      </c>
      <c r="E63" s="2">
        <v>200</v>
      </c>
      <c r="F63" s="2" t="s">
        <v>8</v>
      </c>
    </row>
    <row r="64" spans="1:6">
      <c r="A64" s="2">
        <v>9800</v>
      </c>
      <c r="B64" s="2">
        <v>600</v>
      </c>
      <c r="C64" s="2">
        <v>3</v>
      </c>
      <c r="D64" s="2">
        <v>9</v>
      </c>
      <c r="E64" s="2">
        <v>230</v>
      </c>
      <c r="F64" s="2" t="s">
        <v>8</v>
      </c>
    </row>
    <row r="65" spans="1:6">
      <c r="A65" s="2">
        <v>10300</v>
      </c>
      <c r="B65" s="2">
        <v>650</v>
      </c>
      <c r="C65" s="2">
        <v>3</v>
      </c>
      <c r="D65" s="2">
        <v>10</v>
      </c>
      <c r="E65" s="2">
        <v>250</v>
      </c>
      <c r="F65" s="2" t="s">
        <v>8</v>
      </c>
    </row>
    <row r="66" spans="1:6">
      <c r="A66" s="2">
        <v>11200</v>
      </c>
      <c r="B66" s="2">
        <v>700</v>
      </c>
      <c r="C66" s="2">
        <v>4</v>
      </c>
      <c r="D66" s="2">
        <v>8</v>
      </c>
      <c r="E66" s="2">
        <v>270</v>
      </c>
      <c r="F66" s="2" t="s">
        <v>8</v>
      </c>
    </row>
    <row r="67" spans="1:6">
      <c r="A67" s="2">
        <v>11800</v>
      </c>
      <c r="B67" s="2">
        <v>720</v>
      </c>
      <c r="C67" s="2">
        <v>4</v>
      </c>
      <c r="D67" s="2">
        <v>9</v>
      </c>
      <c r="E67" s="2">
        <v>280</v>
      </c>
      <c r="F67" s="2" t="s">
        <v>8</v>
      </c>
    </row>
    <row r="68" spans="1:6">
      <c r="A68" s="2">
        <v>12100</v>
      </c>
      <c r="B68" s="2">
        <v>750</v>
      </c>
      <c r="C68" s="2">
        <v>4</v>
      </c>
      <c r="D68" s="2">
        <v>8</v>
      </c>
      <c r="E68" s="2">
        <v>300</v>
      </c>
      <c r="F68" s="2" t="s">
        <v>8</v>
      </c>
    </row>
    <row r="69" spans="1:6">
      <c r="A69" s="2">
        <v>12600</v>
      </c>
      <c r="B69" s="2">
        <v>780</v>
      </c>
      <c r="C69" s="2">
        <v>4</v>
      </c>
      <c r="D69" s="2">
        <v>9</v>
      </c>
      <c r="E69" s="2">
        <v>310</v>
      </c>
      <c r="F69" s="2" t="s">
        <v>8</v>
      </c>
    </row>
    <row r="70" spans="1:6">
      <c r="A70" s="2">
        <v>13400</v>
      </c>
      <c r="B70" s="2">
        <v>820</v>
      </c>
      <c r="C70" s="2">
        <v>4</v>
      </c>
      <c r="D70" s="2">
        <v>10</v>
      </c>
      <c r="E70" s="2">
        <v>320</v>
      </c>
      <c r="F70" s="2" t="s">
        <v>8</v>
      </c>
    </row>
    <row r="71" spans="1:6">
      <c r="A71" s="2">
        <v>15000</v>
      </c>
      <c r="B71" s="2">
        <v>900</v>
      </c>
      <c r="C71" s="2">
        <v>5</v>
      </c>
      <c r="D71" s="2">
        <v>5</v>
      </c>
      <c r="E71" s="2">
        <v>340</v>
      </c>
      <c r="F71" s="2" t="s">
        <v>10</v>
      </c>
    </row>
    <row r="72" spans="1:6">
      <c r="A72" s="2">
        <v>13200</v>
      </c>
      <c r="B72" s="2">
        <v>800</v>
      </c>
      <c r="C72" s="2">
        <v>4</v>
      </c>
      <c r="D72" s="2">
        <v>4</v>
      </c>
      <c r="E72" s="2">
        <v>290</v>
      </c>
      <c r="F72" s="2" t="s">
        <v>10</v>
      </c>
    </row>
    <row r="73" spans="1:6">
      <c r="A73" s="2">
        <v>14700</v>
      </c>
      <c r="B73" s="2">
        <v>850</v>
      </c>
      <c r="C73" s="2">
        <v>4</v>
      </c>
      <c r="D73" s="2">
        <v>5</v>
      </c>
      <c r="E73" s="2">
        <v>320</v>
      </c>
      <c r="F73" s="2" t="s">
        <v>10</v>
      </c>
    </row>
    <row r="74" spans="1:6">
      <c r="A74" s="2">
        <v>15900</v>
      </c>
      <c r="B74" s="2">
        <v>950</v>
      </c>
      <c r="C74" s="2">
        <v>5</v>
      </c>
      <c r="D74" s="2">
        <v>6</v>
      </c>
      <c r="E74" s="2">
        <v>350</v>
      </c>
      <c r="F74" s="2" t="s">
        <v>10</v>
      </c>
    </row>
    <row r="75" spans="1:6">
      <c r="A75" s="2">
        <v>16400</v>
      </c>
      <c r="B75" s="2">
        <v>1000</v>
      </c>
      <c r="C75" s="2">
        <v>5</v>
      </c>
      <c r="D75" s="2">
        <v>5</v>
      </c>
      <c r="E75" s="2">
        <v>360</v>
      </c>
      <c r="F75" s="2" t="s">
        <v>10</v>
      </c>
    </row>
    <row r="76" spans="1:6">
      <c r="A76" s="2">
        <v>17100</v>
      </c>
      <c r="B76" s="2">
        <v>1050</v>
      </c>
      <c r="C76" s="2">
        <v>6</v>
      </c>
      <c r="D76" s="2">
        <v>6</v>
      </c>
      <c r="E76" s="2">
        <v>380</v>
      </c>
      <c r="F76" s="2" t="s">
        <v>10</v>
      </c>
    </row>
    <row r="77" spans="1:6">
      <c r="A77" s="2">
        <v>17600</v>
      </c>
      <c r="B77" s="2">
        <v>1100</v>
      </c>
      <c r="C77" s="2">
        <v>6</v>
      </c>
      <c r="D77" s="2">
        <v>6</v>
      </c>
      <c r="E77" s="2">
        <v>390</v>
      </c>
      <c r="F77" s="2" t="s">
        <v>10</v>
      </c>
    </row>
    <row r="78" spans="1:6">
      <c r="A78" s="2">
        <v>18300</v>
      </c>
      <c r="B78" s="2">
        <v>1200</v>
      </c>
      <c r="C78" s="2">
        <v>6</v>
      </c>
      <c r="D78" s="2">
        <v>7</v>
      </c>
      <c r="E78" s="2">
        <v>410</v>
      </c>
      <c r="F78" s="2" t="s">
        <v>10</v>
      </c>
    </row>
    <row r="79" spans="1:6">
      <c r="A79" s="2">
        <v>19100</v>
      </c>
      <c r="B79" s="2">
        <v>1300</v>
      </c>
      <c r="C79" s="2">
        <v>7</v>
      </c>
      <c r="D79" s="2">
        <v>7</v>
      </c>
      <c r="E79" s="2">
        <v>430</v>
      </c>
      <c r="F79" s="2" t="s">
        <v>10</v>
      </c>
    </row>
    <row r="81" spans="1:9">
      <c r="A81" s="6" t="s">
        <v>13</v>
      </c>
      <c r="B81" s="6" t="s">
        <v>14</v>
      </c>
      <c r="C81" s="6" t="s">
        <v>15</v>
      </c>
      <c r="D81" s="6" t="s">
        <v>16</v>
      </c>
      <c r="E81" s="6" t="s">
        <v>17</v>
      </c>
      <c r="F81" s="36" t="s">
        <v>18</v>
      </c>
    </row>
    <row r="82" spans="1:9" ht="30.75">
      <c r="A82" s="64">
        <f>QUARTILE(A2:A79,1)</f>
        <v>19275</v>
      </c>
      <c r="B82" s="64">
        <f>QUARTILE(A2:A79,3)</f>
        <v>34900</v>
      </c>
      <c r="C82" s="64">
        <f>B82-A82</f>
        <v>15625</v>
      </c>
      <c r="D82" s="64">
        <f>A82-(1.5*C82)</f>
        <v>-4162.5</v>
      </c>
      <c r="E82" s="64">
        <f>B82+(1.5*C82)</f>
        <v>58337.5</v>
      </c>
      <c r="F82" s="18" t="s">
        <v>19</v>
      </c>
    </row>
    <row r="83" spans="1:9">
      <c r="A83" s="64">
        <f>QUARTILE(B2:B79,1)</f>
        <v>1325</v>
      </c>
      <c r="B83" s="64">
        <f>QUARTILE(B2:B79,3)</f>
        <v>4775</v>
      </c>
      <c r="C83" s="64">
        <f>B83-A83</f>
        <v>3450</v>
      </c>
      <c r="D83" s="64">
        <f>A83-(1.5*C83)</f>
        <v>-3850</v>
      </c>
      <c r="E83" s="64">
        <f>B83+(1.5*C83)</f>
        <v>9950</v>
      </c>
      <c r="F83" s="19" t="s">
        <v>20</v>
      </c>
    </row>
    <row r="84" spans="1:9" ht="30.75">
      <c r="A84" s="64">
        <f>QUARTILE(C2:C79,1)</f>
        <v>6.25</v>
      </c>
      <c r="B84" s="64">
        <f>QUARTILE(C2:C79,3)</f>
        <v>17.75</v>
      </c>
      <c r="C84" s="64">
        <f>B84-A84</f>
        <v>11.5</v>
      </c>
      <c r="D84" s="64">
        <f>A84-(1.5*C84)</f>
        <v>-11</v>
      </c>
      <c r="E84" s="64">
        <f>B84+(1.5*C84)</f>
        <v>35</v>
      </c>
      <c r="F84" s="18" t="s">
        <v>21</v>
      </c>
    </row>
    <row r="85" spans="1:9" ht="30.75">
      <c r="A85" s="64">
        <f>QUARTILE(D2:D79,1)</f>
        <v>8</v>
      </c>
      <c r="B85" s="64">
        <f>QUARTILE(D2:D79,3)</f>
        <v>12</v>
      </c>
      <c r="C85" s="64">
        <f>B85-A85</f>
        <v>4</v>
      </c>
      <c r="D85" s="64">
        <f>A85-(1.5*C85)</f>
        <v>2</v>
      </c>
      <c r="E85" s="64">
        <f>B85+(1.5*C85)</f>
        <v>18</v>
      </c>
      <c r="F85" s="18" t="s">
        <v>22</v>
      </c>
    </row>
    <row r="86" spans="1:9">
      <c r="A86" s="64">
        <f>QUARTILE(E2:E79,1)</f>
        <v>437.5</v>
      </c>
      <c r="B86" s="64">
        <f>QUARTILE(E2:E79,3)</f>
        <v>847.5</v>
      </c>
      <c r="C86" s="64">
        <f>B86-A86</f>
        <v>410</v>
      </c>
      <c r="D86" s="64">
        <f>A86-(1.5*C86)</f>
        <v>-177.5</v>
      </c>
      <c r="E86" s="64">
        <f>B86+(1.5*C86)</f>
        <v>1462.5</v>
      </c>
      <c r="F86" s="19" t="s">
        <v>23</v>
      </c>
    </row>
    <row r="89" spans="1:9">
      <c r="A89" s="6" t="s">
        <v>18</v>
      </c>
      <c r="B89" s="1" t="s">
        <v>24</v>
      </c>
      <c r="C89" s="1" t="s">
        <v>25</v>
      </c>
      <c r="D89" s="1" t="s">
        <v>26</v>
      </c>
      <c r="E89" s="1" t="s">
        <v>27</v>
      </c>
      <c r="F89" s="1" t="s">
        <v>13</v>
      </c>
      <c r="G89" s="6" t="s">
        <v>14</v>
      </c>
      <c r="H89" s="6" t="s">
        <v>15</v>
      </c>
      <c r="I89" s="6" t="s">
        <v>28</v>
      </c>
    </row>
    <row r="90" spans="1:9">
      <c r="A90" t="s">
        <v>29</v>
      </c>
      <c r="B90" s="2">
        <f>AVERAGE(A2:A79)</f>
        <v>27057.692307692309</v>
      </c>
      <c r="C90" s="2">
        <f>MEDIAN(A2:A79)</f>
        <v>26650</v>
      </c>
      <c r="D90" s="2">
        <f>MODE(A2:A79)</f>
        <v>40100</v>
      </c>
      <c r="E90" s="2">
        <f>_xlfn.STDEV.S(A2:A79)</f>
        <v>10540.910027876353</v>
      </c>
      <c r="F90" s="2">
        <f>QUARTILE(A2:A79,1)</f>
        <v>19275</v>
      </c>
      <c r="G90" s="2">
        <f>QUARTILE(A2:A79,3)</f>
        <v>34900</v>
      </c>
      <c r="H90">
        <f>G90-F90</f>
        <v>15625</v>
      </c>
      <c r="I90">
        <f>MAX(A2:A79)-MIN(A2:A79)</f>
        <v>38500</v>
      </c>
    </row>
    <row r="91" spans="1:9">
      <c r="A91" t="s">
        <v>20</v>
      </c>
      <c r="B91" s="2">
        <f>AVERAGE(B2:B79)</f>
        <v>3267.1794871794873</v>
      </c>
      <c r="C91" s="2">
        <f>MEDIAN(B2:B79)</f>
        <v>2450</v>
      </c>
      <c r="D91" s="2">
        <f>MODE(B2:B79)</f>
        <v>6000</v>
      </c>
      <c r="E91" s="2">
        <f>_xlfn.STDEV.S(B2:B79)</f>
        <v>2271.9966031595568</v>
      </c>
      <c r="F91" s="2">
        <f>QUARTILE(B2:B79,1)</f>
        <v>1325</v>
      </c>
      <c r="G91" s="2">
        <f>QUARTILE(B2:B79,3)</f>
        <v>4775</v>
      </c>
      <c r="H91">
        <f>G91-F91</f>
        <v>3450</v>
      </c>
      <c r="I91">
        <f>MAX(B2:B79)-MIN(B2:B79)</f>
        <v>8050</v>
      </c>
    </row>
    <row r="92" spans="1:9">
      <c r="A92" t="s">
        <v>21</v>
      </c>
      <c r="B92" s="2">
        <f>AVERAGE(C2:C79)</f>
        <v>12.076923076923077</v>
      </c>
      <c r="C92" s="2">
        <f>MEDIAN(C2:C79)</f>
        <v>10.5</v>
      </c>
      <c r="D92" s="2">
        <f>MODE(C2:C79)</f>
        <v>9</v>
      </c>
      <c r="E92" s="2">
        <f>_xlfn.STDEV.S(C2:C79)</f>
        <v>6.6990389517544138</v>
      </c>
      <c r="F92" s="2">
        <f>QUARTILE(C2:C79,1)</f>
        <v>6.25</v>
      </c>
      <c r="G92" s="2">
        <f>QUARTILE(C2:C79,3)</f>
        <v>17.75</v>
      </c>
      <c r="H92">
        <f>G92-F92</f>
        <v>11.5</v>
      </c>
      <c r="I92">
        <f>MAX(C2:C79)-MIN(C2:C79)</f>
        <v>25</v>
      </c>
    </row>
    <row r="93" spans="1:9">
      <c r="A93" t="s">
        <v>30</v>
      </c>
      <c r="B93" s="2">
        <f>AVERAGE(D2:D79)</f>
        <v>10.051282051282051</v>
      </c>
      <c r="C93" s="2">
        <f>MEDIAN(D2:D79)</f>
        <v>9.5</v>
      </c>
      <c r="D93" s="2">
        <f>MODE(D2:D79)</f>
        <v>8</v>
      </c>
      <c r="E93" s="2">
        <f>_xlfn.STDEV.S(D2:D79)</f>
        <v>3.4786825237770844</v>
      </c>
      <c r="F93" s="2">
        <f>QUARTILE(D2:D79,1)</f>
        <v>8</v>
      </c>
      <c r="G93" s="2">
        <f>QUARTILE(D2:D79,3)</f>
        <v>12</v>
      </c>
      <c r="H93">
        <f>G93-F93</f>
        <v>4</v>
      </c>
      <c r="I93">
        <f>MAX(D2:D79)-MIN(D2:D79)</f>
        <v>16</v>
      </c>
    </row>
    <row r="94" spans="1:9">
      <c r="A94" t="s">
        <v>23</v>
      </c>
      <c r="B94" s="2">
        <f>AVERAGE(E2:E79)</f>
        <v>649.35897435897436</v>
      </c>
      <c r="C94" s="2">
        <f>MEDIAN(E2:E79)</f>
        <v>615</v>
      </c>
      <c r="D94" s="2">
        <f>MODE(E2:E79)</f>
        <v>560</v>
      </c>
      <c r="E94" s="2">
        <f>_xlfn.STDEV.S(E2:E79)</f>
        <v>272.23147018662877</v>
      </c>
      <c r="F94" s="2">
        <f>QUARTILE(E2:E79,1)</f>
        <v>437.5</v>
      </c>
      <c r="G94" s="2">
        <f>QUARTILE(E2:E79,3)</f>
        <v>847.5</v>
      </c>
      <c r="H94">
        <f>G94-F94</f>
        <v>410</v>
      </c>
      <c r="I94">
        <f>MAX(E2:E79)-MIN(E2:E79)</f>
        <v>1020</v>
      </c>
    </row>
    <row r="246" spans="1:6">
      <c r="F246" s="19"/>
    </row>
    <row r="247" spans="1:6">
      <c r="A247" s="64"/>
      <c r="B247" s="64"/>
      <c r="C247" s="64"/>
      <c r="D247" s="64"/>
      <c r="E247" s="64"/>
      <c r="F247" s="18"/>
    </row>
    <row r="248" spans="1:6">
      <c r="A248" s="64"/>
      <c r="B248" s="64"/>
      <c r="C248" s="64"/>
      <c r="D248" s="64"/>
      <c r="E248" s="64"/>
      <c r="F248" s="19"/>
    </row>
    <row r="249" spans="1:6">
      <c r="A249" s="64"/>
      <c r="B249" s="64"/>
      <c r="C249" s="64"/>
      <c r="D249" s="64"/>
      <c r="E249" s="64"/>
      <c r="F249" s="18"/>
    </row>
    <row r="250" spans="1:6">
      <c r="A250" s="64"/>
      <c r="B250" s="64"/>
      <c r="C250" s="64"/>
      <c r="D250" s="64"/>
      <c r="E250" s="64"/>
      <c r="F250" s="18"/>
    </row>
    <row r="251" spans="1:6">
      <c r="A251" s="64"/>
      <c r="B251" s="64"/>
      <c r="C251" s="64"/>
      <c r="D251" s="64"/>
      <c r="E251" s="64"/>
      <c r="F251" s="19"/>
    </row>
  </sheetData>
  <sortState xmlns:xlrd2="http://schemas.microsoft.com/office/spreadsheetml/2017/richdata2" ref="A2:F79">
    <sortCondition ref="F2:F7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E7AD-56AB-49B4-95C6-0D031C089F84}">
  <dimension ref="A1:L209"/>
  <sheetViews>
    <sheetView topLeftCell="A196" workbookViewId="0">
      <selection activeCell="G205" sqref="G205"/>
    </sheetView>
  </sheetViews>
  <sheetFormatPr defaultRowHeight="15"/>
  <cols>
    <col min="1" max="1" width="29.5703125" customWidth="1"/>
    <col min="2" max="2" width="22.7109375" customWidth="1"/>
    <col min="3" max="3" width="21.140625" customWidth="1"/>
    <col min="4" max="4" width="30.42578125" customWidth="1"/>
    <col min="5" max="5" width="32.85546875" customWidth="1"/>
    <col min="6" max="6" width="32.28515625" customWidth="1"/>
    <col min="7" max="12" width="17.28515625" customWidth="1"/>
  </cols>
  <sheetData>
    <row r="1" spans="1:12" s="2" customFormat="1" ht="38.25" customHeight="1">
      <c r="A1" s="40"/>
      <c r="B1" s="66" t="s">
        <v>31</v>
      </c>
      <c r="C1" s="66"/>
      <c r="D1" s="66"/>
      <c r="E1" s="66"/>
      <c r="F1" s="66"/>
      <c r="G1" s="40"/>
      <c r="H1" s="40"/>
      <c r="I1" s="40"/>
      <c r="J1" s="31"/>
      <c r="K1" s="31"/>
      <c r="L1" s="31"/>
    </row>
    <row r="2" spans="1:12" ht="27.75" customHeight="1">
      <c r="B2" s="63" t="s">
        <v>0</v>
      </c>
      <c r="C2" s="63" t="s">
        <v>1</v>
      </c>
      <c r="D2" s="63" t="s">
        <v>2</v>
      </c>
      <c r="E2" s="63" t="s">
        <v>3</v>
      </c>
      <c r="F2" s="63" t="s">
        <v>4</v>
      </c>
      <c r="G2" s="3"/>
      <c r="H2" s="3"/>
      <c r="I2" s="3"/>
      <c r="J2" s="3"/>
      <c r="K2" s="3"/>
      <c r="L2" s="9"/>
    </row>
    <row r="3" spans="1:12" ht="27.75" customHeight="1">
      <c r="B3" s="64">
        <v>18200</v>
      </c>
      <c r="C3" s="64">
        <v>1200</v>
      </c>
      <c r="D3" s="64">
        <v>6</v>
      </c>
      <c r="E3" s="64">
        <v>5</v>
      </c>
      <c r="F3" s="64">
        <v>420</v>
      </c>
    </row>
    <row r="4" spans="1:12" ht="27.75" customHeight="1">
      <c r="B4" s="64">
        <v>22400</v>
      </c>
      <c r="C4" s="64">
        <v>1800</v>
      </c>
      <c r="D4" s="64">
        <v>7</v>
      </c>
      <c r="E4" s="64">
        <v>6</v>
      </c>
      <c r="F4" s="64">
        <v>520</v>
      </c>
    </row>
    <row r="5" spans="1:12" ht="27.75" customHeight="1">
      <c r="B5" s="64">
        <v>19800</v>
      </c>
      <c r="C5" s="64">
        <v>1400</v>
      </c>
      <c r="D5" s="64">
        <v>8</v>
      </c>
      <c r="E5" s="64">
        <v>7</v>
      </c>
      <c r="F5" s="64">
        <v>470</v>
      </c>
    </row>
    <row r="6" spans="1:12" ht="27.75" customHeight="1">
      <c r="B6" s="64">
        <v>24300</v>
      </c>
      <c r="C6" s="64">
        <v>2100</v>
      </c>
      <c r="D6" s="64">
        <v>9</v>
      </c>
      <c r="E6" s="64">
        <v>8</v>
      </c>
      <c r="F6" s="64">
        <v>560</v>
      </c>
    </row>
    <row r="7" spans="1:12" ht="27.75" customHeight="1">
      <c r="B7" s="64">
        <v>20700</v>
      </c>
      <c r="C7" s="64">
        <v>1600</v>
      </c>
      <c r="D7" s="64">
        <v>7</v>
      </c>
      <c r="E7" s="64">
        <v>9</v>
      </c>
      <c r="F7" s="64">
        <v>480</v>
      </c>
    </row>
    <row r="8" spans="1:12" ht="27.75" customHeight="1">
      <c r="B8" s="64">
        <v>22100</v>
      </c>
      <c r="C8" s="64">
        <v>1700</v>
      </c>
      <c r="D8" s="64">
        <v>6</v>
      </c>
      <c r="E8" s="64">
        <v>6</v>
      </c>
      <c r="F8" s="64">
        <v>510</v>
      </c>
    </row>
    <row r="9" spans="1:12" ht="27.75" customHeight="1">
      <c r="B9" s="64">
        <v>20500</v>
      </c>
      <c r="C9" s="64">
        <v>1500</v>
      </c>
      <c r="D9" s="64">
        <v>7</v>
      </c>
      <c r="E9" s="64">
        <v>8</v>
      </c>
      <c r="F9" s="64">
        <v>460</v>
      </c>
    </row>
    <row r="10" spans="1:12" ht="27.75" customHeight="1">
      <c r="B10" s="64">
        <v>23600</v>
      </c>
      <c r="C10" s="64">
        <v>2000</v>
      </c>
      <c r="D10" s="64">
        <v>9</v>
      </c>
      <c r="E10" s="64">
        <v>7</v>
      </c>
      <c r="F10" s="64">
        <v>540</v>
      </c>
    </row>
    <row r="11" spans="1:12" ht="27.75" customHeight="1">
      <c r="B11" s="64">
        <v>21200</v>
      </c>
      <c r="C11" s="64">
        <v>1550</v>
      </c>
      <c r="D11" s="64">
        <v>8</v>
      </c>
      <c r="E11" s="64">
        <v>8</v>
      </c>
      <c r="F11" s="64">
        <v>490</v>
      </c>
    </row>
    <row r="12" spans="1:12" ht="27.75" customHeight="1">
      <c r="B12" s="64">
        <v>22800</v>
      </c>
      <c r="C12" s="64">
        <v>1900</v>
      </c>
      <c r="D12" s="64">
        <v>9</v>
      </c>
      <c r="E12" s="64">
        <v>7</v>
      </c>
      <c r="F12" s="64">
        <v>530</v>
      </c>
    </row>
    <row r="13" spans="1:12" ht="27.75" customHeight="1">
      <c r="B13" s="64">
        <v>21800</v>
      </c>
      <c r="C13" s="64">
        <v>1650</v>
      </c>
      <c r="D13" s="64">
        <v>8</v>
      </c>
      <c r="E13" s="64">
        <v>9</v>
      </c>
      <c r="F13" s="64">
        <v>500</v>
      </c>
    </row>
    <row r="14" spans="1:12" ht="27.75" customHeight="1">
      <c r="B14" s="64">
        <v>24100</v>
      </c>
      <c r="C14" s="64">
        <v>2050</v>
      </c>
      <c r="D14" s="64">
        <v>9</v>
      </c>
      <c r="E14" s="64">
        <v>7</v>
      </c>
      <c r="F14" s="64">
        <v>550</v>
      </c>
    </row>
    <row r="15" spans="1:12" ht="27.75" customHeight="1">
      <c r="B15" s="64">
        <v>22300</v>
      </c>
      <c r="C15" s="64">
        <v>1750</v>
      </c>
      <c r="D15" s="64">
        <v>8</v>
      </c>
      <c r="E15" s="64">
        <v>8</v>
      </c>
      <c r="F15" s="64">
        <v>510</v>
      </c>
    </row>
    <row r="16" spans="1:12" ht="27.75" customHeight="1">
      <c r="B16" s="64">
        <v>24900</v>
      </c>
      <c r="C16" s="64">
        <v>2150</v>
      </c>
      <c r="D16" s="64">
        <v>10</v>
      </c>
      <c r="E16" s="64">
        <v>8</v>
      </c>
      <c r="F16" s="64">
        <v>570</v>
      </c>
    </row>
    <row r="17" spans="1:10" ht="27.75" customHeight="1">
      <c r="B17" s="64">
        <v>23200</v>
      </c>
      <c r="C17" s="64">
        <v>1850</v>
      </c>
      <c r="D17" s="64">
        <v>9</v>
      </c>
      <c r="E17" s="64">
        <v>7</v>
      </c>
      <c r="F17" s="64">
        <v>540</v>
      </c>
    </row>
    <row r="18" spans="1:10" ht="27.75" customHeight="1">
      <c r="B18" s="64">
        <v>25400</v>
      </c>
      <c r="C18" s="64">
        <v>2200</v>
      </c>
      <c r="D18" s="64">
        <v>10</v>
      </c>
      <c r="E18" s="64">
        <v>9</v>
      </c>
      <c r="F18" s="64">
        <v>580</v>
      </c>
    </row>
    <row r="19" spans="1:10" ht="27.75" customHeight="1">
      <c r="B19" s="64">
        <v>23700</v>
      </c>
      <c r="C19" s="64">
        <v>1950</v>
      </c>
      <c r="D19" s="64">
        <v>9</v>
      </c>
      <c r="E19" s="64">
        <v>8</v>
      </c>
      <c r="F19" s="64">
        <v>560</v>
      </c>
    </row>
    <row r="20" spans="1:10" ht="27.75" customHeight="1">
      <c r="B20" s="64">
        <v>26100</v>
      </c>
      <c r="C20" s="64">
        <v>2300</v>
      </c>
      <c r="D20" s="64">
        <v>10</v>
      </c>
      <c r="E20" s="64">
        <v>8</v>
      </c>
      <c r="F20" s="64">
        <v>600</v>
      </c>
    </row>
    <row r="21" spans="1:10" ht="27.75" customHeight="1">
      <c r="B21" s="64">
        <v>24400</v>
      </c>
      <c r="C21" s="64">
        <v>2050</v>
      </c>
      <c r="D21" s="64">
        <v>9</v>
      </c>
      <c r="E21" s="64">
        <v>8</v>
      </c>
      <c r="F21" s="64">
        <v>560</v>
      </c>
    </row>
    <row r="22" spans="1:10" ht="27.75" customHeight="1">
      <c r="B22" s="64">
        <v>26800</v>
      </c>
      <c r="C22" s="64">
        <v>2400</v>
      </c>
      <c r="D22" s="64">
        <v>11</v>
      </c>
      <c r="E22" s="64">
        <v>9</v>
      </c>
      <c r="F22" s="64">
        <v>620</v>
      </c>
    </row>
    <row r="23" spans="1:10">
      <c r="A23" s="8"/>
      <c r="B23" s="1"/>
      <c r="C23" s="1"/>
      <c r="D23" s="1"/>
      <c r="E23" s="1"/>
      <c r="F23" s="1"/>
    </row>
    <row r="24" spans="1:10">
      <c r="A24" s="4"/>
      <c r="B24" s="6"/>
      <c r="C24" s="6"/>
      <c r="D24" s="6"/>
      <c r="E24" s="6"/>
      <c r="F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</row>
    <row r="27" spans="1:10" ht="15.75" customHeight="1">
      <c r="J27" s="6"/>
    </row>
    <row r="33" spans="1:9">
      <c r="B33" s="69"/>
      <c r="C33" s="70"/>
      <c r="D33" s="70"/>
      <c r="E33" s="70"/>
      <c r="F33" s="70"/>
    </row>
    <row r="34" spans="1:9" ht="31.5" customHeight="1">
      <c r="A34" s="33" t="s">
        <v>18</v>
      </c>
      <c r="B34" s="33" t="s">
        <v>24</v>
      </c>
      <c r="C34" s="33" t="s">
        <v>25</v>
      </c>
      <c r="D34" s="33" t="s">
        <v>26</v>
      </c>
      <c r="E34" s="33" t="s">
        <v>27</v>
      </c>
      <c r="F34" s="33" t="s">
        <v>13</v>
      </c>
      <c r="G34" s="33" t="s">
        <v>14</v>
      </c>
      <c r="H34" s="33" t="s">
        <v>15</v>
      </c>
      <c r="I34" s="33" t="s">
        <v>28</v>
      </c>
    </row>
    <row r="35" spans="1:9" ht="30.75" customHeight="1">
      <c r="A35" s="21" t="s">
        <v>29</v>
      </c>
      <c r="B35" s="21">
        <f>AVERAGE(B3:B22)</f>
        <v>22915</v>
      </c>
      <c r="C35" s="21">
        <f>MEDIAN(B3:B22)</f>
        <v>23000</v>
      </c>
      <c r="D35" s="21" t="e">
        <f>MODE(B3:B22)</f>
        <v>#N/A</v>
      </c>
      <c r="E35" s="21">
        <f>_xlfn.STDEV.S(B3:B22)</f>
        <v>2179.153626139238</v>
      </c>
      <c r="F35" s="21">
        <f>QUARTILE(B3:B22,1)</f>
        <v>21650</v>
      </c>
      <c r="G35" s="21">
        <f>QUARTILE(B3:B22,3)</f>
        <v>24325</v>
      </c>
      <c r="H35" s="21">
        <f>G35-F35</f>
        <v>2675</v>
      </c>
      <c r="I35" s="21">
        <f>MAX(B3:B22)-MIN(B3:B22)</f>
        <v>8600</v>
      </c>
    </row>
    <row r="36" spans="1:9" ht="35.25" customHeight="1">
      <c r="A36" s="21" t="s">
        <v>20</v>
      </c>
      <c r="B36" s="21">
        <f>AVERAGE(C3:C22)</f>
        <v>1855</v>
      </c>
      <c r="C36" s="21">
        <f>MEDIAN(C3:C22)</f>
        <v>1875</v>
      </c>
      <c r="D36" s="21">
        <f>MODE(C3:C22)</f>
        <v>2050</v>
      </c>
      <c r="E36" s="21">
        <f>_xlfn.STDEV.S(C3:C22)</f>
        <v>313.67935354770367</v>
      </c>
      <c r="F36" s="21">
        <f>QUARTILE(C3:C22,1)</f>
        <v>1637.5</v>
      </c>
      <c r="G36" s="21">
        <f>QUARTILE(C3:C22,3)</f>
        <v>2062.5</v>
      </c>
      <c r="H36" s="21">
        <f>G36-F36</f>
        <v>425</v>
      </c>
      <c r="I36" s="21">
        <f>MAX(C3:C22)-MIN(C3:C22)</f>
        <v>1200</v>
      </c>
    </row>
    <row r="37" spans="1:9" ht="34.5" customHeight="1">
      <c r="A37" s="21" t="s">
        <v>21</v>
      </c>
      <c r="B37" s="21">
        <f>AVERAGE(D3:D22)</f>
        <v>8.4499999999999993</v>
      </c>
      <c r="C37" s="21">
        <f>MEDIAN(D3:D22)</f>
        <v>9</v>
      </c>
      <c r="D37" s="21">
        <f>MODE(D3:D22)</f>
        <v>9</v>
      </c>
      <c r="E37" s="21">
        <f>_xlfn.STDEV.S(D3:D22)</f>
        <v>1.3562719801760001</v>
      </c>
      <c r="F37" s="21">
        <f>QUARTILE(D3:D22,1)</f>
        <v>7.75</v>
      </c>
      <c r="G37" s="21">
        <f>QUARTILE(D3:D22,3)</f>
        <v>9</v>
      </c>
      <c r="H37" s="21">
        <f>G37-F37</f>
        <v>1.25</v>
      </c>
      <c r="I37" s="21">
        <f>MAX(D3:D22)-MIN(D3:D22)</f>
        <v>5</v>
      </c>
    </row>
    <row r="38" spans="1:9" ht="33.75" customHeight="1">
      <c r="A38" s="21" t="s">
        <v>30</v>
      </c>
      <c r="B38" s="21">
        <f>AVERAGE(E3:E22)</f>
        <v>7.6</v>
      </c>
      <c r="C38" s="21">
        <f>MEDIAN(E3:E22)</f>
        <v>8</v>
      </c>
      <c r="D38" s="21">
        <f>MODE(E3:E22)</f>
        <v>8</v>
      </c>
      <c r="E38" s="21">
        <f>_xlfn.STDEV.S(E3:E22)</f>
        <v>1.095445115010331</v>
      </c>
      <c r="F38" s="21">
        <f>QUARTILE(E3:E22,1)</f>
        <v>7</v>
      </c>
      <c r="G38" s="21">
        <f>QUARTILE(E3:E22,3)</f>
        <v>8</v>
      </c>
      <c r="H38" s="21">
        <f>G38-F38</f>
        <v>1</v>
      </c>
      <c r="I38" s="21">
        <f>MAX(E3:E22)-MIN(E3:E22)</f>
        <v>4</v>
      </c>
    </row>
    <row r="39" spans="1:9" ht="34.5" customHeight="1">
      <c r="A39" s="21" t="s">
        <v>23</v>
      </c>
      <c r="B39" s="21">
        <f>AVERAGE(F3:F22)</f>
        <v>528.5</v>
      </c>
      <c r="C39" s="21">
        <f>MEDIAN(F3:F22)</f>
        <v>535</v>
      </c>
      <c r="D39" s="21">
        <f>MODE(F3:F22)</f>
        <v>560</v>
      </c>
      <c r="E39" s="21">
        <f>_xlfn.STDEV.S(F3:F22)</f>
        <v>49.659366000573826</v>
      </c>
      <c r="F39" s="21">
        <f>QUARTILE(F3:F22,1)</f>
        <v>497.5</v>
      </c>
      <c r="G39" s="21">
        <f>QUARTILE(F3:F22,3)</f>
        <v>560</v>
      </c>
      <c r="H39" s="21">
        <f>G39-F39</f>
        <v>62.5</v>
      </c>
      <c r="I39" s="21">
        <f>MAX(F3:F22)-MIN(F3:F22)</f>
        <v>200</v>
      </c>
    </row>
    <row r="40" spans="1:9">
      <c r="B40" s="2"/>
      <c r="C40" s="2"/>
      <c r="D40" s="2"/>
      <c r="E40" s="2"/>
      <c r="F40" s="2"/>
    </row>
    <row r="41" spans="1:9">
      <c r="B41" s="2"/>
      <c r="C41" s="2"/>
      <c r="D41" s="2"/>
      <c r="E41" s="2"/>
      <c r="F41" s="2"/>
    </row>
    <row r="42" spans="1:9">
      <c r="B42" s="2"/>
      <c r="C42" s="2"/>
      <c r="D42" s="2"/>
      <c r="E42" s="2"/>
      <c r="F42" s="2"/>
    </row>
    <row r="43" spans="1:9">
      <c r="B43" s="2"/>
      <c r="C43" s="2"/>
      <c r="D43" s="2"/>
      <c r="E43" s="2"/>
      <c r="F43" s="2"/>
    </row>
    <row r="44" spans="1:9">
      <c r="B44" s="2"/>
      <c r="C44" s="2"/>
      <c r="D44" s="2"/>
      <c r="E44" s="2"/>
      <c r="F44" s="2"/>
    </row>
    <row r="45" spans="1:9">
      <c r="B45" s="2"/>
      <c r="C45" s="2"/>
      <c r="D45" s="2"/>
      <c r="E45" s="2"/>
      <c r="F45" s="2"/>
    </row>
    <row r="46" spans="1:9" ht="12" customHeight="1">
      <c r="B46" s="2"/>
      <c r="C46" s="2"/>
      <c r="D46" s="2"/>
      <c r="E46" s="2"/>
      <c r="F46" s="2"/>
    </row>
    <row r="47" spans="1:9" ht="25.5" customHeight="1">
      <c r="A47" s="65" t="s">
        <v>32</v>
      </c>
      <c r="B47" s="65"/>
      <c r="C47" s="65"/>
      <c r="D47" s="65"/>
      <c r="E47" s="65"/>
      <c r="F47" s="65"/>
    </row>
    <row r="48" spans="1:9" ht="32.25" customHeight="1">
      <c r="A48" s="63" t="s">
        <v>33</v>
      </c>
      <c r="B48" s="63" t="s">
        <v>34</v>
      </c>
      <c r="C48" s="63" t="s">
        <v>35</v>
      </c>
      <c r="D48" s="63" t="s">
        <v>36</v>
      </c>
      <c r="E48" s="14" t="s">
        <v>37</v>
      </c>
      <c r="F48" s="35" t="s">
        <v>38</v>
      </c>
    </row>
    <row r="49" spans="1:9" ht="27.75" customHeight="1">
      <c r="A49" s="34" t="s">
        <v>20</v>
      </c>
      <c r="B49" s="21">
        <f>CORREL(B3:B22, C3:C22)</f>
        <v>0.99352807229784956</v>
      </c>
      <c r="C49" s="21">
        <f>SLOPE(B3:B22,C3:C22)</f>
        <v>6.9021128644022465</v>
      </c>
      <c r="D49" s="21">
        <f>INTERCEPT(B3:B22,C3:C22)</f>
        <v>10111.580636533832</v>
      </c>
      <c r="E49" s="21">
        <f>B49*B49</f>
        <v>0.987098030443881</v>
      </c>
      <c r="F49" s="21" t="s">
        <v>39</v>
      </c>
    </row>
    <row r="50" spans="1:9" ht="32.25" customHeight="1">
      <c r="A50" s="21" t="s">
        <v>21</v>
      </c>
      <c r="B50" s="21">
        <f>CORREL(B3:B22,D3:D22)</f>
        <v>0.8701811360428453</v>
      </c>
      <c r="C50" s="21">
        <f>SLOPE(B3:B22,D3:D22)</f>
        <v>1398.1402002861223</v>
      </c>
      <c r="D50" s="21">
        <f>INTERCEPT(B3:B22,D3:D22)</f>
        <v>11100.715307582268</v>
      </c>
      <c r="E50" s="21">
        <f>B50*B50</f>
        <v>0.7572152095248168</v>
      </c>
      <c r="F50" s="21" t="s">
        <v>39</v>
      </c>
    </row>
    <row r="51" spans="1:9" ht="33.75" customHeight="1">
      <c r="A51" s="21" t="s">
        <v>30</v>
      </c>
      <c r="B51" s="21">
        <f>CORREL(B3:B22,E3:E22)</f>
        <v>0.46124280858578387</v>
      </c>
      <c r="C51" s="21">
        <f>SLOPE(B3:B22,E3:E22)</f>
        <v>917.54385964912296</v>
      </c>
      <c r="D51" s="21">
        <f>INTERCEPT(B3:B22,E3:E22)</f>
        <v>15941.666666666666</v>
      </c>
      <c r="E51" s="21">
        <f>B51*B51</f>
        <v>0.21274492847210205</v>
      </c>
      <c r="F51" s="21" t="s">
        <v>40</v>
      </c>
    </row>
    <row r="52" spans="1:9" ht="33" customHeight="1">
      <c r="A52" s="21" t="s">
        <v>23</v>
      </c>
      <c r="B52" s="21">
        <f>CORREL(B3:B22,F3:F22)</f>
        <v>0.99239218887582348</v>
      </c>
      <c r="C52" s="21">
        <f>SLOPE(B3:B22,F3:F22)</f>
        <v>43.548180557037668</v>
      </c>
      <c r="D52" s="21">
        <f>INTERCEPT(B3:B22,F3:F22)</f>
        <v>-100.21342439440923</v>
      </c>
      <c r="E52" s="21">
        <f>B52*B52</f>
        <v>0.98484225654174806</v>
      </c>
      <c r="F52" s="21" t="s">
        <v>41</v>
      </c>
    </row>
    <row r="53" spans="1:9">
      <c r="B53" s="2"/>
      <c r="C53" s="2"/>
      <c r="D53" s="2"/>
      <c r="E53" s="2"/>
      <c r="F53" s="2"/>
    </row>
    <row r="54" spans="1:9">
      <c r="B54" s="2"/>
      <c r="C54" s="2"/>
      <c r="D54" s="2"/>
      <c r="E54" s="2"/>
      <c r="F54" s="2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4" spans="1:9">
      <c r="B64" s="2"/>
      <c r="C64" s="2"/>
      <c r="D64" s="2"/>
      <c r="E64" s="2"/>
      <c r="F64" s="2"/>
    </row>
    <row r="65" spans="2:6">
      <c r="B65" s="2"/>
      <c r="C65" s="2"/>
      <c r="D65" s="2"/>
      <c r="E65" s="2"/>
      <c r="F65" s="2"/>
    </row>
    <row r="66" spans="2:6">
      <c r="B66" s="2"/>
      <c r="C66" s="2"/>
      <c r="D66" s="2"/>
      <c r="E66" s="2"/>
      <c r="F66" s="2"/>
    </row>
    <row r="67" spans="2:6">
      <c r="B67" s="2"/>
      <c r="C67" s="2"/>
      <c r="D67" s="2"/>
      <c r="E67" s="2"/>
      <c r="F67" s="2"/>
    </row>
    <row r="68" spans="2:6">
      <c r="B68" s="2"/>
      <c r="C68" s="2"/>
      <c r="D68" s="2"/>
      <c r="E68" s="2"/>
      <c r="F68" s="2"/>
    </row>
    <row r="69" spans="2:6">
      <c r="B69" s="2"/>
      <c r="C69" s="2"/>
      <c r="D69" s="2"/>
      <c r="E69" s="2"/>
      <c r="F69" s="2"/>
    </row>
    <row r="70" spans="2:6">
      <c r="B70" s="2"/>
      <c r="C70" s="2"/>
      <c r="D70" s="2"/>
      <c r="E70" s="2"/>
      <c r="F70" s="2"/>
    </row>
    <row r="71" spans="2:6">
      <c r="B71" s="2"/>
      <c r="C71" s="2"/>
      <c r="D71" s="2"/>
      <c r="E71" s="2"/>
      <c r="F71" s="2"/>
    </row>
    <row r="72" spans="2:6">
      <c r="B72" s="2"/>
      <c r="C72" s="2"/>
      <c r="D72" s="2"/>
      <c r="E72" s="2"/>
      <c r="F72" s="2"/>
    </row>
    <row r="73" spans="2:6">
      <c r="B73" s="2"/>
      <c r="C73" s="2"/>
      <c r="D73" s="2"/>
      <c r="E73" s="2"/>
      <c r="F73" s="2"/>
    </row>
    <row r="74" spans="2:6">
      <c r="B74" s="2"/>
      <c r="C74" s="2"/>
      <c r="D74" s="2"/>
      <c r="E74" s="2"/>
      <c r="F74" s="2"/>
    </row>
    <row r="75" spans="2:6">
      <c r="B75" s="2"/>
      <c r="C75" s="2"/>
      <c r="D75" s="2"/>
      <c r="E75" s="2"/>
      <c r="F75" s="2"/>
    </row>
    <row r="76" spans="2:6">
      <c r="B76" s="2"/>
      <c r="C76" s="2"/>
      <c r="D76" s="2"/>
      <c r="E76" s="2"/>
      <c r="F76" s="2"/>
    </row>
    <row r="77" spans="2:6">
      <c r="B77" s="2"/>
      <c r="C77" s="2"/>
      <c r="D77" s="2"/>
      <c r="E77" s="2"/>
      <c r="F77" s="2"/>
    </row>
    <row r="78" spans="2:6">
      <c r="B78" s="2"/>
      <c r="C78" s="2"/>
      <c r="D78" s="2"/>
      <c r="E78" s="2"/>
      <c r="F78" s="2"/>
    </row>
    <row r="79" spans="2:6">
      <c r="B79" s="2"/>
      <c r="C79" s="2"/>
      <c r="D79" s="2"/>
      <c r="E79" s="2"/>
      <c r="F79" s="2"/>
    </row>
    <row r="80" spans="2:6">
      <c r="B80" s="2"/>
      <c r="C80" s="2"/>
      <c r="D80" s="2"/>
      <c r="E80" s="2"/>
      <c r="F80" s="2"/>
    </row>
    <row r="81" spans="2:6">
      <c r="B81" s="2"/>
      <c r="C81" s="2"/>
      <c r="D81" s="2"/>
      <c r="E81" s="2"/>
      <c r="F81" s="2"/>
    </row>
    <row r="82" spans="2:6">
      <c r="B82" s="2"/>
      <c r="C82" s="2"/>
      <c r="D82" s="2"/>
      <c r="E82" s="2"/>
      <c r="F82" s="2"/>
    </row>
    <row r="90" spans="2:6">
      <c r="B90" s="69"/>
      <c r="C90" s="70"/>
      <c r="D90" s="70"/>
      <c r="E90" s="70"/>
      <c r="F90" s="70"/>
    </row>
    <row r="91" spans="2:6">
      <c r="B91" s="1"/>
      <c r="C91" s="1"/>
      <c r="D91" s="1"/>
      <c r="E91" s="1"/>
      <c r="F91" s="1"/>
    </row>
    <row r="92" spans="2:6">
      <c r="B92" s="2"/>
      <c r="C92" s="2"/>
      <c r="D92" s="2"/>
      <c r="E92" s="2"/>
      <c r="F92" s="2"/>
    </row>
    <row r="93" spans="2:6">
      <c r="B93" s="2"/>
      <c r="C93" s="2"/>
      <c r="D93" s="2"/>
      <c r="E93" s="2"/>
      <c r="F93" s="2"/>
    </row>
    <row r="94" spans="2:6">
      <c r="B94" s="2"/>
      <c r="C94" s="2"/>
      <c r="D94" s="2"/>
      <c r="E94" s="2"/>
      <c r="F94" s="2"/>
    </row>
    <row r="95" spans="2:6">
      <c r="B95" s="2"/>
      <c r="C95" s="2"/>
      <c r="D95" s="2"/>
      <c r="E95" s="2"/>
      <c r="F95" s="2"/>
    </row>
    <row r="96" spans="2:6">
      <c r="B96" s="2"/>
      <c r="C96" s="2"/>
      <c r="D96" s="2"/>
      <c r="E96" s="2"/>
      <c r="F96" s="2"/>
    </row>
    <row r="97" spans="2:6">
      <c r="B97" s="2"/>
      <c r="C97" s="2"/>
      <c r="D97" s="2"/>
      <c r="E97" s="2"/>
      <c r="F97" s="2"/>
    </row>
    <row r="98" spans="2:6">
      <c r="B98" s="2"/>
      <c r="C98" s="2"/>
      <c r="D98" s="2"/>
      <c r="E98" s="2"/>
      <c r="F98" s="2"/>
    </row>
    <row r="99" spans="2:6">
      <c r="B99" s="2"/>
      <c r="C99" s="2"/>
      <c r="D99" s="2"/>
      <c r="E99" s="2"/>
      <c r="F99" s="2"/>
    </row>
    <row r="100" spans="2:6">
      <c r="B100" s="2"/>
      <c r="C100" s="2"/>
      <c r="D100" s="2"/>
      <c r="E100" s="2"/>
      <c r="F100" s="2"/>
    </row>
    <row r="101" spans="2:6">
      <c r="B101" s="2"/>
      <c r="C101" s="2"/>
      <c r="D101" s="2"/>
      <c r="E101" s="2"/>
      <c r="F101" s="2"/>
    </row>
    <row r="109" spans="2:6">
      <c r="B109" s="69"/>
      <c r="C109" s="70"/>
      <c r="D109" s="70"/>
      <c r="E109" s="70"/>
      <c r="F109" s="70"/>
    </row>
    <row r="110" spans="2:6">
      <c r="B110" s="1"/>
      <c r="C110" s="1"/>
      <c r="D110" s="1"/>
      <c r="E110" s="1"/>
      <c r="F110" s="1"/>
    </row>
    <row r="111" spans="2:6">
      <c r="B111" s="2"/>
      <c r="C111" s="2"/>
      <c r="D111" s="2"/>
      <c r="E111" s="2"/>
      <c r="F111" s="2"/>
    </row>
    <row r="112" spans="2:6">
      <c r="B112" s="2"/>
      <c r="C112" s="2"/>
      <c r="D112" s="2"/>
      <c r="E112" s="2"/>
      <c r="F112" s="2"/>
    </row>
    <row r="113" spans="2:6">
      <c r="B113" s="2"/>
      <c r="C113" s="2"/>
      <c r="D113" s="2"/>
      <c r="E113" s="2"/>
      <c r="F113" s="2"/>
    </row>
    <row r="114" spans="2:6">
      <c r="B114" s="2"/>
      <c r="C114" s="2"/>
      <c r="D114" s="2"/>
      <c r="E114" s="2"/>
      <c r="F114" s="2"/>
    </row>
    <row r="115" spans="2:6">
      <c r="B115" s="2"/>
      <c r="C115" s="2"/>
      <c r="D115" s="2"/>
      <c r="E115" s="2"/>
      <c r="F115" s="2"/>
    </row>
    <row r="116" spans="2:6">
      <c r="B116" s="2"/>
      <c r="C116" s="2"/>
      <c r="D116" s="2"/>
      <c r="E116" s="2"/>
      <c r="F116" s="2"/>
    </row>
    <row r="117" spans="2:6">
      <c r="B117" s="2"/>
      <c r="C117" s="2"/>
      <c r="D117" s="2"/>
      <c r="E117" s="2"/>
      <c r="F117" s="2"/>
    </row>
    <row r="118" spans="2:6">
      <c r="B118" s="2"/>
      <c r="C118" s="2"/>
      <c r="D118" s="2"/>
      <c r="E118" s="2"/>
      <c r="F118" s="2"/>
    </row>
    <row r="119" spans="2:6">
      <c r="B119" s="2"/>
      <c r="C119" s="2"/>
      <c r="D119" s="2"/>
      <c r="E119" s="2"/>
      <c r="F119" s="2"/>
    </row>
    <row r="203" spans="1:8" ht="29.25" customHeight="1">
      <c r="A203" s="67" t="s">
        <v>42</v>
      </c>
      <c r="B203" s="68"/>
      <c r="C203" s="68"/>
      <c r="D203" s="68"/>
      <c r="E203" s="68"/>
      <c r="F203" s="68"/>
      <c r="G203" s="68"/>
    </row>
    <row r="204" spans="1:8" ht="31.5" customHeight="1">
      <c r="A204" s="33" t="s">
        <v>18</v>
      </c>
      <c r="B204" s="33" t="s">
        <v>13</v>
      </c>
      <c r="C204" s="33" t="s">
        <v>14</v>
      </c>
      <c r="D204" s="33" t="s">
        <v>15</v>
      </c>
      <c r="E204" s="33" t="s">
        <v>16</v>
      </c>
      <c r="F204" s="33" t="s">
        <v>17</v>
      </c>
      <c r="G204" s="62" t="s">
        <v>43</v>
      </c>
      <c r="H204" s="33" t="s">
        <v>44</v>
      </c>
    </row>
    <row r="205" spans="1:8" ht="27.75" customHeight="1">
      <c r="A205" s="37" t="s">
        <v>19</v>
      </c>
      <c r="B205" s="21">
        <f>QUARTILE(B3:B22,1)</f>
        <v>21650</v>
      </c>
      <c r="C205" s="21">
        <f>QUARTILE(B3:B22,3)</f>
        <v>24325</v>
      </c>
      <c r="D205" s="21">
        <f>C205-B205</f>
        <v>2675</v>
      </c>
      <c r="E205" s="21">
        <f>B205-(1.5*D205)</f>
        <v>17637.5</v>
      </c>
      <c r="F205" s="21">
        <f>C205+(1.5*D205)</f>
        <v>28337.5</v>
      </c>
      <c r="G205" s="21" t="b" cm="1">
        <f t="array" ref="G205">OR(B3:B22&gt;F205,B3:B22&lt;E205)</f>
        <v>0</v>
      </c>
    </row>
    <row r="206" spans="1:8" ht="33" customHeight="1">
      <c r="A206" s="21" t="s">
        <v>20</v>
      </c>
      <c r="B206" s="21">
        <f>QUARTILE(C3:C22,1)</f>
        <v>1637.5</v>
      </c>
      <c r="C206" s="21">
        <f>QUARTILE(C3:C22,3)</f>
        <v>2062.5</v>
      </c>
      <c r="D206" s="21">
        <f>C206-B206</f>
        <v>425</v>
      </c>
      <c r="E206" s="21">
        <f>B206-(1.5*D206)</f>
        <v>1000</v>
      </c>
      <c r="F206" s="21">
        <f>C206+(1.5*D206)</f>
        <v>2700</v>
      </c>
      <c r="G206" s="21" t="b" cm="1">
        <f t="array" ref="G206">OR(C3:C22&gt;F206,C3:C22&lt;F209)</f>
        <v>0</v>
      </c>
    </row>
    <row r="207" spans="1:8" ht="32.25" customHeight="1">
      <c r="A207" s="37" t="s">
        <v>21</v>
      </c>
      <c r="B207" s="21">
        <f>QUARTILE(D3:D22,1)</f>
        <v>7.75</v>
      </c>
      <c r="C207" s="21">
        <f>QUARTILE(D3:D22,3)</f>
        <v>9</v>
      </c>
      <c r="D207" s="21">
        <f>C207-B207</f>
        <v>1.25</v>
      </c>
      <c r="E207" s="21">
        <f>B207-(1.5*D207)</f>
        <v>5.875</v>
      </c>
      <c r="F207" s="21">
        <f>C207+(1.5*D207)</f>
        <v>10.875</v>
      </c>
      <c r="G207" s="21" t="b" cm="1">
        <f t="array" ref="G207">OR(D3:D22&gt;F207,D3:D22&lt;E207)</f>
        <v>1</v>
      </c>
      <c r="H207" s="64">
        <v>11</v>
      </c>
    </row>
    <row r="208" spans="1:8" ht="33.75" customHeight="1">
      <c r="A208" s="37" t="s">
        <v>22</v>
      </c>
      <c r="B208" s="21">
        <f>QUARTILE(E3:E22,1)</f>
        <v>7</v>
      </c>
      <c r="C208" s="21">
        <f>QUARTILE(E3:E22,3)</f>
        <v>8</v>
      </c>
      <c r="D208" s="21">
        <f>C208-B208</f>
        <v>1</v>
      </c>
      <c r="E208" s="21">
        <f>B208-(1.5*D208)</f>
        <v>5.5</v>
      </c>
      <c r="F208" s="21">
        <f>C208+(1.5*D208)</f>
        <v>9.5</v>
      </c>
      <c r="G208" s="21" t="b" cm="1">
        <f t="array" ref="G208">OR(E3:E22&gt;F208,E3:E22&lt;E208)</f>
        <v>1</v>
      </c>
      <c r="H208" s="64">
        <v>5</v>
      </c>
    </row>
    <row r="209" spans="1:7" ht="36.75" customHeight="1">
      <c r="A209" s="21" t="s">
        <v>23</v>
      </c>
      <c r="B209" s="21">
        <f>QUARTILE(F3:F22,1)</f>
        <v>497.5</v>
      </c>
      <c r="C209" s="21">
        <f>QUARTILE(F3:F22,3)</f>
        <v>560</v>
      </c>
      <c r="D209" s="21">
        <f>C209-B209</f>
        <v>62.5</v>
      </c>
      <c r="E209" s="21">
        <f>B209-(1.5*D209)</f>
        <v>403.75</v>
      </c>
      <c r="F209" s="21">
        <f>C209+(1.5*D209)</f>
        <v>653.75</v>
      </c>
      <c r="G209" s="21" t="b" cm="1">
        <f t="array" ref="G209">OR(F3:F22&gt;F209,F3:F22&lt;E209)</f>
        <v>0</v>
      </c>
    </row>
  </sheetData>
  <sortState xmlns:xlrd2="http://schemas.microsoft.com/office/spreadsheetml/2017/richdata2" ref="L3:L22">
    <sortCondition ref="L3:L22"/>
  </sortState>
  <mergeCells count="6">
    <mergeCell ref="B1:F1"/>
    <mergeCell ref="A203:G203"/>
    <mergeCell ref="B33:F33"/>
    <mergeCell ref="B90:F90"/>
    <mergeCell ref="B109:F109"/>
    <mergeCell ref="A47:F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9227-0810-4C7C-AEC3-A27ED8EAAF0E}">
  <dimension ref="A1:L182"/>
  <sheetViews>
    <sheetView tabSelected="1" workbookViewId="0">
      <pane ySplit="2" topLeftCell="A168" activePane="bottomLeft" state="frozen"/>
      <selection pane="bottomLeft" activeCell="G183" sqref="G183"/>
    </sheetView>
  </sheetViews>
  <sheetFormatPr defaultRowHeight="15"/>
  <cols>
    <col min="1" max="1" width="29" customWidth="1"/>
    <col min="2" max="2" width="27" customWidth="1"/>
    <col min="3" max="3" width="24.85546875" customWidth="1"/>
    <col min="4" max="4" width="12.28515625" customWidth="1"/>
    <col min="5" max="5" width="25.140625" customWidth="1"/>
    <col min="6" max="6" width="14.5703125" customWidth="1"/>
    <col min="7" max="12" width="12.28515625" customWidth="1"/>
  </cols>
  <sheetData>
    <row r="1" spans="1:12">
      <c r="A1" s="31"/>
      <c r="B1" s="65" t="s">
        <v>45</v>
      </c>
      <c r="C1" s="65"/>
      <c r="D1" s="65"/>
      <c r="E1" s="65"/>
      <c r="F1" s="65"/>
      <c r="G1" s="31"/>
      <c r="H1" s="31"/>
      <c r="I1" s="31"/>
      <c r="J1" s="31"/>
      <c r="K1" s="31"/>
      <c r="L1" s="31"/>
    </row>
    <row r="2" spans="1:12" ht="30.75">
      <c r="B2" s="7" t="s">
        <v>0</v>
      </c>
      <c r="C2" s="7" t="s">
        <v>1</v>
      </c>
      <c r="D2" s="7" t="s">
        <v>2</v>
      </c>
      <c r="E2" s="3" t="s">
        <v>3</v>
      </c>
      <c r="F2" s="3" t="s">
        <v>4</v>
      </c>
      <c r="G2" s="3"/>
      <c r="H2" s="3"/>
      <c r="I2" s="3"/>
      <c r="J2" s="3"/>
      <c r="K2" s="3"/>
      <c r="L2" s="9"/>
    </row>
    <row r="3" spans="1:12">
      <c r="B3">
        <v>26500</v>
      </c>
      <c r="C3">
        <v>2500</v>
      </c>
      <c r="D3">
        <v>10</v>
      </c>
      <c r="E3">
        <v>12</v>
      </c>
      <c r="F3">
        <v>610</v>
      </c>
    </row>
    <row r="4" spans="1:12">
      <c r="B4">
        <v>40100</v>
      </c>
      <c r="C4">
        <v>6000</v>
      </c>
      <c r="D4">
        <v>20</v>
      </c>
      <c r="E4">
        <v>15</v>
      </c>
      <c r="F4">
        <v>980</v>
      </c>
    </row>
    <row r="5" spans="1:12">
      <c r="B5">
        <v>35700</v>
      </c>
      <c r="C5">
        <v>5200</v>
      </c>
      <c r="D5">
        <v>18</v>
      </c>
      <c r="E5">
        <v>13</v>
      </c>
      <c r="F5">
        <v>880</v>
      </c>
    </row>
    <row r="6" spans="1:12">
      <c r="B6">
        <v>41500</v>
      </c>
      <c r="C6">
        <v>6500</v>
      </c>
      <c r="D6">
        <v>21</v>
      </c>
      <c r="E6">
        <v>14</v>
      </c>
      <c r="F6">
        <v>1020</v>
      </c>
    </row>
    <row r="7" spans="1:12">
      <c r="B7">
        <v>38900</v>
      </c>
      <c r="C7">
        <v>5700</v>
      </c>
      <c r="D7">
        <v>19</v>
      </c>
      <c r="E7">
        <v>12</v>
      </c>
      <c r="F7">
        <v>940</v>
      </c>
    </row>
    <row r="8" spans="1:12">
      <c r="B8">
        <v>43200</v>
      </c>
      <c r="C8">
        <v>7200</v>
      </c>
      <c r="D8">
        <v>23</v>
      </c>
      <c r="E8">
        <v>16</v>
      </c>
      <c r="F8">
        <v>1080</v>
      </c>
    </row>
    <row r="9" spans="1:12">
      <c r="B9">
        <v>37100</v>
      </c>
      <c r="C9">
        <v>5400</v>
      </c>
      <c r="D9">
        <v>18</v>
      </c>
      <c r="E9">
        <v>12</v>
      </c>
      <c r="F9">
        <v>900</v>
      </c>
    </row>
    <row r="10" spans="1:12">
      <c r="B10">
        <v>41800</v>
      </c>
      <c r="C10">
        <v>6800</v>
      </c>
      <c r="D10">
        <v>22</v>
      </c>
      <c r="E10">
        <v>15</v>
      </c>
      <c r="F10">
        <v>1010</v>
      </c>
    </row>
    <row r="11" spans="1:12">
      <c r="B11">
        <v>39600</v>
      </c>
      <c r="C11">
        <v>6100</v>
      </c>
      <c r="D11">
        <v>20</v>
      </c>
      <c r="E11">
        <v>13</v>
      </c>
      <c r="F11">
        <v>970</v>
      </c>
    </row>
    <row r="12" spans="1:12">
      <c r="B12">
        <v>44700</v>
      </c>
      <c r="C12">
        <v>7600</v>
      </c>
      <c r="D12">
        <v>24</v>
      </c>
      <c r="E12">
        <v>17</v>
      </c>
      <c r="F12">
        <v>1120</v>
      </c>
    </row>
    <row r="13" spans="1:12">
      <c r="B13">
        <v>37800</v>
      </c>
      <c r="C13">
        <v>5600</v>
      </c>
      <c r="D13">
        <v>19</v>
      </c>
      <c r="E13">
        <v>13</v>
      </c>
      <c r="F13">
        <v>920</v>
      </c>
    </row>
    <row r="14" spans="1:12">
      <c r="B14">
        <v>42600</v>
      </c>
      <c r="C14">
        <v>7000</v>
      </c>
      <c r="D14">
        <v>22</v>
      </c>
      <c r="E14">
        <v>16</v>
      </c>
      <c r="F14">
        <v>1040</v>
      </c>
    </row>
    <row r="15" spans="1:12">
      <c r="B15">
        <v>38400</v>
      </c>
      <c r="C15">
        <v>5800</v>
      </c>
      <c r="D15">
        <v>19</v>
      </c>
      <c r="E15">
        <v>12</v>
      </c>
      <c r="F15">
        <v>950</v>
      </c>
    </row>
    <row r="16" spans="1:12">
      <c r="B16">
        <v>43800</v>
      </c>
      <c r="C16">
        <v>7300</v>
      </c>
      <c r="D16">
        <v>23</v>
      </c>
      <c r="E16">
        <v>16</v>
      </c>
      <c r="F16">
        <v>1090</v>
      </c>
    </row>
    <row r="17" spans="1:6">
      <c r="B17">
        <v>39200</v>
      </c>
      <c r="C17">
        <v>6000</v>
      </c>
      <c r="D17">
        <v>20</v>
      </c>
      <c r="E17">
        <v>13</v>
      </c>
      <c r="F17">
        <v>960</v>
      </c>
    </row>
    <row r="18" spans="1:6">
      <c r="B18">
        <v>45200</v>
      </c>
      <c r="C18">
        <v>7800</v>
      </c>
      <c r="D18">
        <v>25</v>
      </c>
      <c r="E18">
        <v>18</v>
      </c>
      <c r="F18">
        <v>1150</v>
      </c>
    </row>
    <row r="19" spans="1:6">
      <c r="B19">
        <v>40100</v>
      </c>
      <c r="C19">
        <v>6200</v>
      </c>
      <c r="D19">
        <v>21</v>
      </c>
      <c r="E19">
        <v>14</v>
      </c>
      <c r="F19">
        <v>990</v>
      </c>
    </row>
    <row r="20" spans="1:6">
      <c r="B20">
        <v>46800</v>
      </c>
      <c r="C20">
        <v>8200</v>
      </c>
      <c r="D20">
        <v>26</v>
      </c>
      <c r="E20">
        <v>19</v>
      </c>
      <c r="F20">
        <v>1180</v>
      </c>
    </row>
    <row r="21" spans="1:6">
      <c r="B21">
        <v>40900</v>
      </c>
      <c r="C21">
        <v>6400</v>
      </c>
      <c r="D21">
        <v>21</v>
      </c>
      <c r="E21">
        <v>14</v>
      </c>
      <c r="F21">
        <v>1000</v>
      </c>
    </row>
    <row r="22" spans="1:6">
      <c r="B22">
        <v>47200</v>
      </c>
      <c r="C22">
        <v>8500</v>
      </c>
      <c r="D22">
        <v>27</v>
      </c>
      <c r="E22">
        <v>20</v>
      </c>
      <c r="F22">
        <v>1200</v>
      </c>
    </row>
    <row r="23" spans="1:6">
      <c r="A23" s="8"/>
      <c r="B23" s="6"/>
      <c r="C23" s="6"/>
      <c r="D23" s="6"/>
      <c r="E23" s="6"/>
      <c r="F23" s="6"/>
    </row>
    <row r="24" spans="1:6">
      <c r="A24" s="8"/>
      <c r="B24" s="6"/>
      <c r="C24" s="6"/>
      <c r="D24" s="6"/>
      <c r="E24" s="6"/>
      <c r="F24" s="6"/>
    </row>
    <row r="25" spans="1:6">
      <c r="A25" s="5"/>
      <c r="B25" s="6"/>
      <c r="C25" s="6"/>
      <c r="D25" s="6"/>
      <c r="E25" s="6"/>
      <c r="F25" s="6"/>
    </row>
    <row r="26" spans="1:6">
      <c r="A26" s="8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15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3" spans="1:9">
      <c r="A33" s="60" t="s">
        <v>18</v>
      </c>
      <c r="B33" s="59" t="s">
        <v>24</v>
      </c>
      <c r="C33" s="59" t="s">
        <v>25</v>
      </c>
      <c r="D33" s="59" t="s">
        <v>26</v>
      </c>
      <c r="E33" s="59" t="s">
        <v>27</v>
      </c>
      <c r="F33" s="59" t="s">
        <v>13</v>
      </c>
      <c r="G33" s="59" t="s">
        <v>14</v>
      </c>
      <c r="H33" s="59" t="s">
        <v>15</v>
      </c>
      <c r="I33" s="59" t="s">
        <v>28</v>
      </c>
    </row>
    <row r="34" spans="1:9">
      <c r="A34" s="60" t="s">
        <v>19</v>
      </c>
      <c r="B34" s="57">
        <f>AVERAGE(B3:B22)</f>
        <v>40555</v>
      </c>
      <c r="C34" s="57">
        <f>MEDIAN(B3:B22)</f>
        <v>40500</v>
      </c>
      <c r="D34" s="57">
        <f>_xlfn.MODE.SNGL(B3:B22)</f>
        <v>40100</v>
      </c>
      <c r="E34" s="57">
        <f>_xlfn.STDEV.S(B3:B22)</f>
        <v>4573.2028394251565</v>
      </c>
      <c r="F34" s="57">
        <f>_xlfn.QUARTILE.EXC(B3:B22,1)</f>
        <v>38525</v>
      </c>
      <c r="G34" s="57">
        <f>_xlfn.QUARTILE.EXC(B3:B22,3)</f>
        <v>43650</v>
      </c>
      <c r="H34" s="57">
        <f>_xlfn.QUARTILE.INC(B3:B22, 3) - _xlfn.QUARTILE.INC(B3:B22, 1)</f>
        <v>4575</v>
      </c>
      <c r="I34" s="57">
        <f>MAX(B3:B22) - MIN(B3:B22)</f>
        <v>20700</v>
      </c>
    </row>
    <row r="35" spans="1:9">
      <c r="A35" s="60" t="s">
        <v>20</v>
      </c>
      <c r="B35" s="57">
        <f>AVERAGE(C3:C22)</f>
        <v>6390</v>
      </c>
      <c r="C35" s="57">
        <f>MEDIAN(C3:C22)</f>
        <v>6300</v>
      </c>
      <c r="D35" s="57">
        <f>_xlfn.MODE.SNGL(C3:C22)</f>
        <v>6000</v>
      </c>
      <c r="E35" s="57">
        <f>_xlfn.STDEV.S(C3:C22)</f>
        <v>1310.2430469593278</v>
      </c>
      <c r="F35" s="57">
        <f>_xlfn.QUARTILE.EXC(C3:C22,1)</f>
        <v>5725</v>
      </c>
      <c r="G35" s="57">
        <f>_xlfn.QUARTILE.EXC(C3:C22,3)</f>
        <v>7275</v>
      </c>
      <c r="H35" s="57">
        <f>_xlfn.QUARTILE.INC(C3:C22, 3) - _xlfn.QUARTILE.INC(C3:C22, 1)</f>
        <v>1450</v>
      </c>
      <c r="I35" s="57">
        <f>MAX(C3:C22) - MIN(C3:C22)</f>
        <v>6000</v>
      </c>
    </row>
    <row r="36" spans="1:9">
      <c r="A36" s="60" t="s">
        <v>21</v>
      </c>
      <c r="B36" s="57">
        <f>AVERAGE(D3:D22)</f>
        <v>20.9</v>
      </c>
      <c r="C36" s="57">
        <f>MEDIAN(D3:D22)</f>
        <v>21</v>
      </c>
      <c r="D36" s="61">
        <f>_xlfn.MODE.SNGL(D3:D22)</f>
        <v>20</v>
      </c>
      <c r="E36" s="57">
        <f>_xlfn.STDEV.S(D3:D22)</f>
        <v>3.6259300077431988</v>
      </c>
      <c r="F36" s="57">
        <f>_xlfn.QUARTILE.EXC(D3:D22,1)</f>
        <v>19</v>
      </c>
      <c r="G36" s="57">
        <f>_xlfn.QUARTILE.EXC(D3:D22,3)</f>
        <v>23</v>
      </c>
      <c r="H36" s="57">
        <f>_xlfn.QUARTILE.INC(D3:D22, 3) - _xlfn.QUARTILE.INC(D3:D22, 1)</f>
        <v>4</v>
      </c>
      <c r="I36" s="57">
        <f>MAX(D3:D22) - MIN(D3:D22)</f>
        <v>17</v>
      </c>
    </row>
    <row r="37" spans="1:9">
      <c r="A37" s="60" t="s">
        <v>30</v>
      </c>
      <c r="B37" s="57">
        <f>AVERAGE(E3:E22)</f>
        <v>14.7</v>
      </c>
      <c r="C37" s="57">
        <f>MEDIAN(E3:E22)</f>
        <v>14</v>
      </c>
      <c r="D37" s="61">
        <f>MODE(E3:E22)</f>
        <v>12</v>
      </c>
      <c r="E37" s="57">
        <f>_xlfn.STDEV.S(E3:E22)</f>
        <v>2.408318915758457</v>
      </c>
      <c r="F37" s="57">
        <f>_xlfn.QUARTILE.EXC(E3:E22,1)</f>
        <v>13</v>
      </c>
      <c r="G37" s="57">
        <f>_xlfn.QUARTILE.EXC(E3:E22,3)</f>
        <v>16</v>
      </c>
      <c r="H37" s="57">
        <f>_xlfn.QUARTILE.INC(E3:E22, 3) - _xlfn.QUARTILE.INC(E3:E22, 1)</f>
        <v>3</v>
      </c>
      <c r="I37" s="57">
        <f>MAX(E3:E22) - MIN(E3:E22)</f>
        <v>8</v>
      </c>
    </row>
    <row r="38" spans="1:9">
      <c r="A38" s="60" t="s">
        <v>23</v>
      </c>
      <c r="B38" s="57">
        <f>AVERAGE(F3:F22)</f>
        <v>999.5</v>
      </c>
      <c r="C38" s="57">
        <f>MEDIAN(F3:F22)</f>
        <v>995</v>
      </c>
      <c r="D38" s="61" t="e">
        <f>MODE(F3:F22)</f>
        <v>#N/A</v>
      </c>
      <c r="E38" s="57">
        <f>_xlfn.STDEV.S(F3:F22)</f>
        <v>129.34958751180338</v>
      </c>
      <c r="F38" s="57">
        <f>_xlfn.QUARTILE.EXC(F3:F22,1)</f>
        <v>942.5</v>
      </c>
      <c r="G38" s="57">
        <f>_xlfn.QUARTILE.EXC(F4:F22,3)</f>
        <v>1090</v>
      </c>
      <c r="H38" s="57">
        <f>_xlfn.QUARTILE.INC(F3:F22, 3) - _xlfn.QUARTILE.INC(F3:F22, 1)</f>
        <v>135</v>
      </c>
      <c r="I38" s="57">
        <f>MAX(F3:F22) - MIN(F3:F22)</f>
        <v>590</v>
      </c>
    </row>
    <row r="41" spans="1:9">
      <c r="A41" s="57" t="s">
        <v>32</v>
      </c>
      <c r="B41" s="58"/>
      <c r="C41" s="57"/>
      <c r="D41" s="57"/>
      <c r="E41" s="57"/>
      <c r="F41" s="57"/>
      <c r="G41" s="57"/>
    </row>
    <row r="42" spans="1:9">
      <c r="A42" s="59" t="s">
        <v>33</v>
      </c>
      <c r="B42" s="59" t="s">
        <v>34</v>
      </c>
      <c r="C42" s="59" t="s">
        <v>35</v>
      </c>
      <c r="D42" s="59" t="s">
        <v>36</v>
      </c>
      <c r="E42" s="59" t="s">
        <v>37</v>
      </c>
      <c r="F42" s="59" t="s">
        <v>38</v>
      </c>
    </row>
    <row r="43" spans="1:9">
      <c r="A43" s="59" t="s">
        <v>20</v>
      </c>
      <c r="B43" s="57">
        <f>CORREL(B3:B22, C3:C22)</f>
        <v>0.99589683904806026</v>
      </c>
      <c r="C43" s="57">
        <f>SLOPE(B3:B22,C3:C22)</f>
        <v>3.4760255073885586</v>
      </c>
      <c r="D43" s="57">
        <f>INTERCEPT(B3:B22,C3:C22)</f>
        <v>18343.197007787112</v>
      </c>
      <c r="E43" s="57">
        <f>B43*B43</f>
        <v>0.99181051402591802</v>
      </c>
      <c r="F43" s="57" t="s">
        <v>41</v>
      </c>
      <c r="G43" s="58"/>
    </row>
    <row r="44" spans="1:9">
      <c r="A44" s="59" t="s">
        <v>21</v>
      </c>
      <c r="B44" s="57">
        <f>CORREL(B3:B22, D3:D22)</f>
        <v>0.99222321612050546</v>
      </c>
      <c r="C44" s="57">
        <f>SLOPE(B3:B22,D3:D22)</f>
        <v>1251.441152922338</v>
      </c>
      <c r="D44" s="57">
        <f>INTERCEPT(B3:B22,D3:D22)</f>
        <v>14399.879903923138</v>
      </c>
      <c r="E44" s="57">
        <f>B44*B44</f>
        <v>0.98450691060851925</v>
      </c>
      <c r="F44" s="57" t="s">
        <v>41</v>
      </c>
      <c r="G44" s="58"/>
    </row>
    <row r="45" spans="1:9">
      <c r="A45" s="59" t="s">
        <v>30</v>
      </c>
      <c r="B45" s="57">
        <f>CORREL(B3:B22, E3:E22)</f>
        <v>0.81873876344221663</v>
      </c>
      <c r="C45" s="57">
        <f>SLOPE(B3:B22,E3:E22)</f>
        <v>1554.7186932849365</v>
      </c>
      <c r="D45" s="57">
        <f>INTERCEPT(B3:B22,E3:E22)</f>
        <v>17700.635208711436</v>
      </c>
      <c r="E45" s="57">
        <f>B45*B45</f>
        <v>0.67033316276289001</v>
      </c>
      <c r="F45" s="57" t="s">
        <v>41</v>
      </c>
      <c r="G45" s="58"/>
    </row>
    <row r="46" spans="1:9">
      <c r="A46" s="59" t="s">
        <v>23</v>
      </c>
      <c r="B46" s="57">
        <f>CORREL(B3:B22, F3:F22)</f>
        <v>0.9962857000627503</v>
      </c>
      <c r="C46" s="57">
        <f>SLOPE(B3:B22,F3:F22)</f>
        <v>35.224051966844399</v>
      </c>
      <c r="D46" s="57">
        <f>INTERCEPT(B3:B22,F3:F22)</f>
        <v>5348.5600591390248</v>
      </c>
      <c r="E46" s="57">
        <f>B46*B46</f>
        <v>0.99258519614952445</v>
      </c>
      <c r="F46" s="57" t="s">
        <v>41</v>
      </c>
      <c r="G46" s="58"/>
    </row>
    <row r="177" spans="1:8">
      <c r="A177" s="59" t="s">
        <v>18</v>
      </c>
      <c r="B177" s="59" t="s">
        <v>13</v>
      </c>
      <c r="C177" s="59" t="s">
        <v>14</v>
      </c>
      <c r="D177" s="59" t="s">
        <v>15</v>
      </c>
      <c r="E177" s="59" t="s">
        <v>46</v>
      </c>
      <c r="F177" s="59" t="s">
        <v>17</v>
      </c>
      <c r="G177" s="59" t="s">
        <v>43</v>
      </c>
      <c r="H177" s="59" t="s">
        <v>44</v>
      </c>
    </row>
    <row r="178" spans="1:8">
      <c r="A178" s="59" t="s">
        <v>19</v>
      </c>
      <c r="B178" s="57">
        <f>F34</f>
        <v>38525</v>
      </c>
      <c r="C178" s="57">
        <f>G34</f>
        <v>43650</v>
      </c>
      <c r="D178" s="57">
        <f>H34</f>
        <v>4575</v>
      </c>
      <c r="E178" s="57">
        <f>B178-(1.5*D178)</f>
        <v>31662.5</v>
      </c>
      <c r="F178" s="57">
        <f>C178+(1.5*D178)</f>
        <v>50512.5</v>
      </c>
      <c r="G178" s="57" t="b" cm="1">
        <f t="array" ref="G178">OR(B3:B22&gt;F178,B3:B22&lt;E178)</f>
        <v>1</v>
      </c>
      <c r="H178" s="57">
        <v>26500</v>
      </c>
    </row>
    <row r="179" spans="1:8">
      <c r="A179" s="59" t="s">
        <v>20</v>
      </c>
      <c r="B179" s="57">
        <f>F35</f>
        <v>5725</v>
      </c>
      <c r="C179" s="57">
        <f>G35</f>
        <v>7275</v>
      </c>
      <c r="D179" s="57">
        <f>H35</f>
        <v>1450</v>
      </c>
      <c r="E179" s="57">
        <f>B179-(1.5*D179)</f>
        <v>3550</v>
      </c>
      <c r="F179" s="57">
        <f>C179+(1.5*D179)</f>
        <v>9450</v>
      </c>
      <c r="G179" s="57" t="b" cm="1">
        <f t="array" ref="G179">OR(C3:C22&gt;F179,C3:C22&lt;E179)</f>
        <v>1</v>
      </c>
      <c r="H179" s="57">
        <v>2500</v>
      </c>
    </row>
    <row r="180" spans="1:8">
      <c r="A180" s="59" t="s">
        <v>21</v>
      </c>
      <c r="B180" s="57">
        <f>G36</f>
        <v>23</v>
      </c>
      <c r="C180" s="57">
        <f>G36</f>
        <v>23</v>
      </c>
      <c r="D180" s="57">
        <f>H36</f>
        <v>4</v>
      </c>
      <c r="E180" s="57">
        <f>B180-(1.5*D180)</f>
        <v>17</v>
      </c>
      <c r="F180" s="57">
        <f>C180+(1.5*D180)</f>
        <v>29</v>
      </c>
      <c r="G180" s="57" t="b" cm="1">
        <f t="array" ref="G180">OR(D3:D22&gt;F180,D3:D22&lt;E180)</f>
        <v>1</v>
      </c>
      <c r="H180" s="57">
        <v>10</v>
      </c>
    </row>
    <row r="181" spans="1:8">
      <c r="A181" s="59" t="s">
        <v>22</v>
      </c>
      <c r="B181" s="57">
        <f>F37</f>
        <v>13</v>
      </c>
      <c r="C181" s="57">
        <f>G37</f>
        <v>16</v>
      </c>
      <c r="D181" s="57">
        <f>H37</f>
        <v>3</v>
      </c>
      <c r="E181" s="57">
        <f>B181-(1.5*D181)</f>
        <v>8.5</v>
      </c>
      <c r="F181" s="57">
        <f>C181+(1.5*D181)</f>
        <v>20.5</v>
      </c>
      <c r="G181" s="57" t="b" cm="1">
        <f t="array" ref="G181">OR(E3:E22&gt;F181,E3:E22&lt;E181)</f>
        <v>0</v>
      </c>
      <c r="H181" s="57"/>
    </row>
    <row r="182" spans="1:8">
      <c r="A182" s="59" t="s">
        <v>23</v>
      </c>
      <c r="B182" s="57">
        <f>F38</f>
        <v>942.5</v>
      </c>
      <c r="C182" s="57">
        <f>G38</f>
        <v>1090</v>
      </c>
      <c r="D182" s="57">
        <f>H38</f>
        <v>135</v>
      </c>
      <c r="E182" s="57">
        <f>B182-(1.5*D182)</f>
        <v>740</v>
      </c>
      <c r="F182" s="57">
        <f>C182+(1.5*D182)</f>
        <v>1292.5</v>
      </c>
      <c r="G182" s="57" t="b" cm="1">
        <f t="array" ref="G182">OR(F3:F22&gt;F182,F3:F22&lt;E182)</f>
        <v>1</v>
      </c>
      <c r="H182" s="57">
        <v>610</v>
      </c>
    </row>
  </sheetData>
  <sortState xmlns:xlrd2="http://schemas.microsoft.com/office/spreadsheetml/2017/richdata2" ref="L3:L22">
    <sortCondition ref="L3:L22"/>
  </sortState>
  <mergeCells count="1">
    <mergeCell ref="B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E52A-65D0-4E9F-A232-76046FF41685}">
  <dimension ref="A1:L131"/>
  <sheetViews>
    <sheetView topLeftCell="A11" workbookViewId="0">
      <selection activeCell="E127" sqref="E127"/>
    </sheetView>
  </sheetViews>
  <sheetFormatPr defaultRowHeight="15"/>
  <cols>
    <col min="1" max="1" width="19.7109375" customWidth="1"/>
    <col min="2" max="2" width="37.28515625" customWidth="1"/>
    <col min="3" max="3" width="26.28515625" customWidth="1"/>
    <col min="4" max="4" width="29.85546875" customWidth="1"/>
    <col min="5" max="5" width="29.5703125" customWidth="1"/>
    <col min="6" max="6" width="54.140625" customWidth="1"/>
    <col min="7" max="7" width="24.42578125" customWidth="1"/>
    <col min="8" max="12" width="15.42578125" customWidth="1"/>
  </cols>
  <sheetData>
    <row r="1" spans="1:12">
      <c r="A1" s="31"/>
      <c r="B1" s="65" t="s">
        <v>47</v>
      </c>
      <c r="C1" s="65"/>
      <c r="D1" s="65"/>
      <c r="E1" s="65"/>
      <c r="F1" s="65"/>
      <c r="G1" s="31"/>
      <c r="H1" s="31"/>
      <c r="I1" s="31"/>
      <c r="J1" s="31"/>
      <c r="K1" s="31"/>
      <c r="L1" s="31"/>
    </row>
    <row r="2" spans="1:12" ht="30.75">
      <c r="B2" s="7" t="s">
        <v>0</v>
      </c>
      <c r="C2" s="7" t="s">
        <v>1</v>
      </c>
      <c r="D2" s="7" t="s">
        <v>2</v>
      </c>
      <c r="E2" s="3" t="s">
        <v>3</v>
      </c>
      <c r="F2" s="7" t="s">
        <v>4</v>
      </c>
      <c r="G2" s="3"/>
      <c r="H2" s="3"/>
      <c r="I2" s="3"/>
      <c r="J2" s="3"/>
      <c r="K2" s="3"/>
      <c r="L2" s="9"/>
    </row>
    <row r="3" spans="1:12">
      <c r="B3">
        <v>31200</v>
      </c>
      <c r="C3">
        <v>4200</v>
      </c>
      <c r="D3">
        <v>15</v>
      </c>
      <c r="E3">
        <v>10</v>
      </c>
      <c r="F3">
        <v>780</v>
      </c>
    </row>
    <row r="4" spans="1:12">
      <c r="B4">
        <v>27800</v>
      </c>
      <c r="C4">
        <v>3100</v>
      </c>
      <c r="D4">
        <v>11</v>
      </c>
      <c r="E4">
        <v>9</v>
      </c>
      <c r="F4">
        <v>670</v>
      </c>
    </row>
    <row r="5" spans="1:12">
      <c r="B5">
        <v>29600</v>
      </c>
      <c r="C5">
        <v>3600</v>
      </c>
      <c r="D5">
        <v>13</v>
      </c>
      <c r="E5">
        <v>11</v>
      </c>
      <c r="F5">
        <v>720</v>
      </c>
    </row>
    <row r="6" spans="1:12">
      <c r="B6">
        <v>26800</v>
      </c>
      <c r="C6">
        <v>3000</v>
      </c>
      <c r="D6">
        <v>12</v>
      </c>
      <c r="E6">
        <v>10</v>
      </c>
      <c r="F6">
        <v>640</v>
      </c>
    </row>
    <row r="7" spans="1:12">
      <c r="B7">
        <v>32400</v>
      </c>
      <c r="C7">
        <v>4400</v>
      </c>
      <c r="D7">
        <v>16</v>
      </c>
      <c r="E7">
        <v>11</v>
      </c>
      <c r="F7">
        <v>810</v>
      </c>
    </row>
    <row r="8" spans="1:12">
      <c r="B8">
        <v>28300</v>
      </c>
      <c r="C8">
        <v>3300</v>
      </c>
      <c r="D8">
        <v>12</v>
      </c>
      <c r="E8">
        <v>10</v>
      </c>
      <c r="F8">
        <v>690</v>
      </c>
    </row>
    <row r="9" spans="1:12">
      <c r="B9">
        <v>30500</v>
      </c>
      <c r="C9">
        <v>3900</v>
      </c>
      <c r="D9">
        <v>14</v>
      </c>
      <c r="E9">
        <v>11</v>
      </c>
      <c r="F9">
        <v>740</v>
      </c>
    </row>
    <row r="10" spans="1:12">
      <c r="B10">
        <v>27400</v>
      </c>
      <c r="C10">
        <v>3200</v>
      </c>
      <c r="D10">
        <v>11</v>
      </c>
      <c r="E10">
        <v>9</v>
      </c>
      <c r="F10">
        <v>660</v>
      </c>
    </row>
    <row r="11" spans="1:12">
      <c r="B11">
        <v>33200</v>
      </c>
      <c r="C11">
        <v>4500</v>
      </c>
      <c r="D11">
        <v>16</v>
      </c>
      <c r="E11">
        <v>12</v>
      </c>
      <c r="F11">
        <v>820</v>
      </c>
    </row>
    <row r="12" spans="1:12">
      <c r="B12">
        <v>28900</v>
      </c>
      <c r="C12">
        <v>3400</v>
      </c>
      <c r="D12">
        <v>13</v>
      </c>
      <c r="E12">
        <v>10</v>
      </c>
      <c r="F12">
        <v>700</v>
      </c>
    </row>
    <row r="13" spans="1:12">
      <c r="B13">
        <v>31400</v>
      </c>
      <c r="C13">
        <v>4100</v>
      </c>
      <c r="D13">
        <v>15</v>
      </c>
      <c r="E13">
        <v>11</v>
      </c>
      <c r="F13">
        <v>770</v>
      </c>
    </row>
    <row r="14" spans="1:12">
      <c r="B14">
        <v>29400</v>
      </c>
      <c r="C14">
        <v>3500</v>
      </c>
      <c r="D14">
        <v>13</v>
      </c>
      <c r="E14">
        <v>10</v>
      </c>
      <c r="F14">
        <v>710</v>
      </c>
    </row>
    <row r="15" spans="1:12">
      <c r="B15">
        <v>32700</v>
      </c>
      <c r="C15">
        <v>4300</v>
      </c>
      <c r="D15">
        <v>16</v>
      </c>
      <c r="E15">
        <v>11</v>
      </c>
      <c r="F15">
        <v>800</v>
      </c>
    </row>
    <row r="16" spans="1:12">
      <c r="B16">
        <v>30100</v>
      </c>
      <c r="C16">
        <v>3700</v>
      </c>
      <c r="D16">
        <v>14</v>
      </c>
      <c r="E16">
        <v>10</v>
      </c>
      <c r="F16">
        <v>730</v>
      </c>
    </row>
    <row r="17" spans="1:9">
      <c r="B17">
        <v>33800</v>
      </c>
      <c r="C17">
        <v>4600</v>
      </c>
      <c r="D17">
        <v>17</v>
      </c>
      <c r="E17">
        <v>12</v>
      </c>
      <c r="F17">
        <v>830</v>
      </c>
    </row>
    <row r="18" spans="1:9">
      <c r="B18">
        <v>30900</v>
      </c>
      <c r="C18">
        <v>3950</v>
      </c>
      <c r="D18">
        <v>15</v>
      </c>
      <c r="E18">
        <v>11</v>
      </c>
      <c r="F18">
        <v>750</v>
      </c>
    </row>
    <row r="19" spans="1:9">
      <c r="B19">
        <v>34300</v>
      </c>
      <c r="C19">
        <v>4700</v>
      </c>
      <c r="D19">
        <v>17</v>
      </c>
      <c r="E19">
        <v>12</v>
      </c>
      <c r="F19">
        <v>840</v>
      </c>
    </row>
    <row r="20" spans="1:9">
      <c r="B20">
        <v>31600</v>
      </c>
      <c r="C20">
        <v>4050</v>
      </c>
      <c r="D20">
        <v>15</v>
      </c>
      <c r="E20">
        <v>11</v>
      </c>
      <c r="F20">
        <v>760</v>
      </c>
    </row>
    <row r="21" spans="1:9">
      <c r="B21">
        <v>35100</v>
      </c>
      <c r="C21">
        <v>4800</v>
      </c>
      <c r="D21">
        <v>18</v>
      </c>
      <c r="E21">
        <v>12</v>
      </c>
      <c r="F21">
        <v>850</v>
      </c>
    </row>
    <row r="22" spans="1:9">
      <c r="A22" s="8"/>
      <c r="B22" s="6"/>
      <c r="C22" s="6"/>
      <c r="D22" s="6"/>
      <c r="E22" s="6"/>
      <c r="F22" s="6"/>
    </row>
    <row r="23" spans="1:9">
      <c r="A23" s="8"/>
      <c r="B23" s="6"/>
      <c r="C23" s="6"/>
      <c r="D23" s="6"/>
      <c r="E23" s="6"/>
      <c r="F23" s="6"/>
    </row>
    <row r="24" spans="1:9">
      <c r="A24" s="6" t="s">
        <v>18</v>
      </c>
      <c r="B24" s="6" t="s">
        <v>24</v>
      </c>
      <c r="C24" s="6" t="s">
        <v>25</v>
      </c>
      <c r="D24" s="6" t="s">
        <v>26</v>
      </c>
      <c r="E24" s="6" t="s">
        <v>27</v>
      </c>
      <c r="F24" s="6" t="s">
        <v>13</v>
      </c>
      <c r="G24" s="6" t="s">
        <v>14</v>
      </c>
      <c r="H24" s="6" t="s">
        <v>15</v>
      </c>
      <c r="I24" s="6" t="s">
        <v>28</v>
      </c>
    </row>
    <row r="25" spans="1:9">
      <c r="A25" t="s">
        <v>29</v>
      </c>
      <c r="B25">
        <f>AVERAGE(B3:B21)</f>
        <v>30810.526315789473</v>
      </c>
      <c r="C25">
        <f>MEDIAN(B3:B21)</f>
        <v>30900</v>
      </c>
      <c r="D25" t="e">
        <f>MODE(B3:B21)</f>
        <v>#N/A</v>
      </c>
      <c r="E25">
        <f>_xlfn.STDEV.S(B3:B21)</f>
        <v>2394.8775744265567</v>
      </c>
      <c r="F25">
        <f>QUARTILE(B3:B21,1)</f>
        <v>29150</v>
      </c>
      <c r="G25">
        <f>QUARTILE(B3:B21,3)</f>
        <v>32550</v>
      </c>
      <c r="H25">
        <f>G25-F25</f>
        <v>3400</v>
      </c>
      <c r="I25" s="32">
        <f>MAX(B3:B21)-MIN(B3:B21)</f>
        <v>8300</v>
      </c>
    </row>
    <row r="26" spans="1:9">
      <c r="A26" t="s">
        <v>20</v>
      </c>
      <c r="B26">
        <f>AVERAGE(C3:C21)</f>
        <v>3910.5263157894738</v>
      </c>
      <c r="C26">
        <f>MEDIAN(C3:C21)</f>
        <v>3950</v>
      </c>
      <c r="D26" t="e">
        <f>MODE(C3:C21)</f>
        <v>#N/A</v>
      </c>
      <c r="E26">
        <f>_xlfn.STDEV.S(C3:C21)</f>
        <v>562.87430691062502</v>
      </c>
      <c r="F26">
        <f>QUARTILE(C3:C21,1)</f>
        <v>3450</v>
      </c>
      <c r="G26">
        <f>QUARTILE(C3:C21,3)</f>
        <v>4350</v>
      </c>
      <c r="H26">
        <f>G26-F26</f>
        <v>900</v>
      </c>
      <c r="I26">
        <f>MAX(C3:C21)-MIN(C3:C21)</f>
        <v>1800</v>
      </c>
    </row>
    <row r="27" spans="1:9">
      <c r="A27" t="s">
        <v>21</v>
      </c>
      <c r="B27">
        <f>AVERAGE(D3:D21)</f>
        <v>14.368421052631579</v>
      </c>
      <c r="C27">
        <f>MEDIAN(D3:D21)</f>
        <v>15</v>
      </c>
      <c r="D27">
        <f>MODE(D3:D21)</f>
        <v>15</v>
      </c>
      <c r="E27">
        <f>_xlfn.STDEV.S(D3:D21)</f>
        <v>2.0604887854797238</v>
      </c>
      <c r="F27">
        <f>QUARTILE(D3:D21,1)</f>
        <v>13</v>
      </c>
      <c r="G27">
        <f>QUARTILE(D3:D21,3)</f>
        <v>16</v>
      </c>
      <c r="H27">
        <f>G27-F27</f>
        <v>3</v>
      </c>
      <c r="I27">
        <f>MAX(D3:D21)-MIN(D3:D21)</f>
        <v>7</v>
      </c>
    </row>
    <row r="28" spans="1:9">
      <c r="A28" t="s">
        <v>30</v>
      </c>
      <c r="B28">
        <f>AVERAGE(E3:E21)</f>
        <v>10.684210526315789</v>
      </c>
      <c r="C28">
        <f>MEDIAN(E3:E21)</f>
        <v>11</v>
      </c>
      <c r="D28">
        <f>MODE(E3:E21)</f>
        <v>11</v>
      </c>
      <c r="E28">
        <f>_xlfn.STDEV.S(E3:E21)</f>
        <v>0.94590530292691732</v>
      </c>
      <c r="F28">
        <f>QUARTILE(E3:E21,1)</f>
        <v>10</v>
      </c>
      <c r="G28">
        <f>QUARTILE(E3:E21,3)</f>
        <v>11</v>
      </c>
      <c r="H28">
        <f>G28-F28</f>
        <v>1</v>
      </c>
      <c r="I28">
        <f>MAX(E3:E21)-MIN(E3:E21)</f>
        <v>3</v>
      </c>
    </row>
    <row r="29" spans="1:9">
      <c r="A29" t="s">
        <v>23</v>
      </c>
      <c r="B29">
        <f>AVERAGE(F3:F21)</f>
        <v>751.0526315789474</v>
      </c>
      <c r="C29">
        <f>MEDIAN(F3:F20)</f>
        <v>745</v>
      </c>
      <c r="D29" t="e">
        <f>MODE(F3:F21)</f>
        <v>#N/A</v>
      </c>
      <c r="E29">
        <f>_xlfn.STDEV.S(F3:F21)</f>
        <v>63.499320804950806</v>
      </c>
      <c r="F29">
        <f>QUARTILE(F3:F21,1)</f>
        <v>705</v>
      </c>
      <c r="G29">
        <f>QUARTILE(F3:F21,3)</f>
        <v>805</v>
      </c>
      <c r="H29">
        <f>G29-F29</f>
        <v>100</v>
      </c>
      <c r="I29">
        <f>MAX(F3:F21)-MIN(F3:F21)</f>
        <v>210</v>
      </c>
    </row>
    <row r="32" spans="1:9">
      <c r="A32" s="65" t="s">
        <v>32</v>
      </c>
      <c r="B32" s="65"/>
      <c r="C32" s="65"/>
      <c r="D32" s="65"/>
      <c r="E32" s="65"/>
      <c r="F32" s="65"/>
    </row>
    <row r="33" spans="1:6" ht="30.75">
      <c r="A33" s="63" t="s">
        <v>33</v>
      </c>
      <c r="B33" s="63" t="s">
        <v>34</v>
      </c>
      <c r="C33" s="63" t="s">
        <v>35</v>
      </c>
      <c r="D33" s="63" t="s">
        <v>36</v>
      </c>
      <c r="E33" s="14" t="s">
        <v>37</v>
      </c>
      <c r="F33" s="10" t="s">
        <v>38</v>
      </c>
    </row>
    <row r="34" spans="1:6" ht="17.25">
      <c r="A34" s="34" t="s">
        <v>20</v>
      </c>
      <c r="B34" s="21">
        <f xml:space="preserve"> CORREL(B3:B21,C3:C21)</f>
        <v>0.99005219442090464</v>
      </c>
      <c r="C34" s="21">
        <f>SLOPE(B3:B21, C3:C21)</f>
        <v>4.2124036731115311</v>
      </c>
      <c r="D34" s="21">
        <f>INTERCEPT(B3:B21, C3:C21)</f>
        <v>14337.810899358592</v>
      </c>
      <c r="E34" s="21">
        <f>B34*B34</f>
        <v>0.98020334767764872</v>
      </c>
      <c r="F34" s="21" t="s">
        <v>39</v>
      </c>
    </row>
    <row r="35" spans="1:6" ht="34.5">
      <c r="A35" s="37" t="s">
        <v>21</v>
      </c>
      <c r="B35" s="21">
        <f>CORREL(B3:B21, D3:D21)</f>
        <v>0.97977086467824315</v>
      </c>
      <c r="C35" s="21">
        <f>SLOPE(B3:B21, D3:D21)</f>
        <v>1138.7741046831959</v>
      </c>
      <c r="D35" s="21">
        <f>INTERCEPT(B3:B21, D3:D21)</f>
        <v>14448.140495867763</v>
      </c>
      <c r="E35" s="21">
        <f>B35*B35</f>
        <v>0.9599509472723522</v>
      </c>
      <c r="F35" s="21" t="s">
        <v>39</v>
      </c>
    </row>
    <row r="36" spans="1:6" ht="17.25">
      <c r="A36" s="21" t="s">
        <v>30</v>
      </c>
      <c r="B36" s="21">
        <f>CORREL(B3:B21, E3:E21)</f>
        <v>0.88687592340646315</v>
      </c>
      <c r="C36" s="21">
        <f>SLOPE(B3:B21, E3:E21)</f>
        <v>2245.4248366013071</v>
      </c>
      <c r="D36" s="21">
        <v>15941.6667</v>
      </c>
      <c r="E36" s="21">
        <f>B36*B36</f>
        <v>0.78654890351806672</v>
      </c>
      <c r="F36" s="21" t="s">
        <v>41</v>
      </c>
    </row>
    <row r="37" spans="1:6" ht="17.25">
      <c r="A37" s="21" t="s">
        <v>23</v>
      </c>
      <c r="B37" s="21">
        <f>CORREL(B3:B21, F3:F21)</f>
        <v>0.99213597664900555</v>
      </c>
      <c r="C37" s="21">
        <f>SLOPE(B3:B21, F3:F21)</f>
        <v>37.418419144307471</v>
      </c>
      <c r="D37" s="21">
        <f>INTERCEPT(B3:B21, F3:F21)</f>
        <v>2707.3241479332828</v>
      </c>
      <c r="E37" s="21">
        <f>B37*B37</f>
        <v>0.98433379616127603</v>
      </c>
      <c r="F37" s="21" t="s">
        <v>41</v>
      </c>
    </row>
    <row r="126" spans="1:7">
      <c r="A126" s="63" t="s">
        <v>18</v>
      </c>
      <c r="B126" s="63" t="s">
        <v>13</v>
      </c>
      <c r="C126" s="63" t="s">
        <v>14</v>
      </c>
      <c r="D126" s="63" t="s">
        <v>15</v>
      </c>
      <c r="E126" s="63" t="s">
        <v>16</v>
      </c>
      <c r="F126" s="63" t="s">
        <v>17</v>
      </c>
      <c r="G126" s="6" t="s">
        <v>43</v>
      </c>
    </row>
    <row r="127" spans="1:7" ht="30.75">
      <c r="A127" s="14" t="s">
        <v>19</v>
      </c>
      <c r="B127" s="64">
        <f>QUARTILE(B3:B21,1)</f>
        <v>29150</v>
      </c>
      <c r="C127" s="64">
        <f>QUARTILE(B3:B21,3)</f>
        <v>32550</v>
      </c>
      <c r="D127" s="64">
        <f>C127-B127</f>
        <v>3400</v>
      </c>
      <c r="E127" s="64">
        <f>B127-(1.5*D127)</f>
        <v>24050</v>
      </c>
      <c r="F127" s="64">
        <f>C127+(1.5*D127)</f>
        <v>37650</v>
      </c>
    </row>
    <row r="128" spans="1:7" ht="30" customHeight="1">
      <c r="A128" s="63" t="s">
        <v>20</v>
      </c>
      <c r="B128" s="64">
        <f>QUARTILE(C3:C21,1)</f>
        <v>3450</v>
      </c>
      <c r="C128" s="64">
        <f>QUARTILE(C3:C21,3)</f>
        <v>4350</v>
      </c>
      <c r="D128" s="64">
        <f>C128-B128</f>
        <v>900</v>
      </c>
      <c r="E128" s="64">
        <f>B128-(1.5*D128)</f>
        <v>2100</v>
      </c>
      <c r="F128" s="64">
        <f>C128+(1.5*D128)</f>
        <v>5700</v>
      </c>
    </row>
    <row r="129" spans="1:6" ht="30.75">
      <c r="A129" s="14" t="s">
        <v>21</v>
      </c>
      <c r="B129" s="64">
        <f>QUARTILE(D3:D21,1)</f>
        <v>13</v>
      </c>
      <c r="C129" s="64">
        <f>QUARTILE(D3:D21,3)</f>
        <v>16</v>
      </c>
      <c r="D129" s="64">
        <f>C129-B129</f>
        <v>3</v>
      </c>
      <c r="E129" s="64">
        <f>B129-(1.5*D129)</f>
        <v>8.5</v>
      </c>
      <c r="F129" s="64">
        <f>C129+(1.5*D129)</f>
        <v>20.5</v>
      </c>
    </row>
    <row r="130" spans="1:6" ht="30.75">
      <c r="A130" s="14" t="s">
        <v>22</v>
      </c>
      <c r="B130" s="64">
        <f>QUARTILE(E3:E21,1)</f>
        <v>10</v>
      </c>
      <c r="C130" s="64">
        <f>QUARTILE(E3:E21,3)</f>
        <v>11</v>
      </c>
      <c r="D130" s="64">
        <f>C130-B130</f>
        <v>1</v>
      </c>
      <c r="E130" s="64">
        <f>B130-(1.5*D130)</f>
        <v>8.5</v>
      </c>
      <c r="F130" s="64">
        <f>C130+(1.5*D130)</f>
        <v>12.5</v>
      </c>
    </row>
    <row r="131" spans="1:6" ht="33" customHeight="1">
      <c r="A131" s="63" t="s">
        <v>23</v>
      </c>
      <c r="B131" s="64">
        <f>QUARTILE(F3:F21,1)</f>
        <v>705</v>
      </c>
      <c r="C131" s="64">
        <f>QUARTILE(F3:F21,3)</f>
        <v>805</v>
      </c>
      <c r="D131" s="64">
        <f>C131-B131</f>
        <v>100</v>
      </c>
      <c r="E131" s="64">
        <f>B131-(1.5*D131)</f>
        <v>555</v>
      </c>
      <c r="F131" s="64">
        <f>C131+(1.5*D131)</f>
        <v>955</v>
      </c>
    </row>
  </sheetData>
  <sortState xmlns:xlrd2="http://schemas.microsoft.com/office/spreadsheetml/2017/richdata2" ref="L3:L21">
    <sortCondition ref="L3:L21"/>
  </sortState>
  <mergeCells count="2">
    <mergeCell ref="B1:F1"/>
    <mergeCell ref="A32:F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FD1C-5865-4B55-A726-292BEF0A0E02}">
  <dimension ref="A1:J46"/>
  <sheetViews>
    <sheetView topLeftCell="A21" workbookViewId="0">
      <selection activeCell="E29" sqref="E29:G29"/>
    </sheetView>
  </sheetViews>
  <sheetFormatPr defaultRowHeight="15"/>
  <cols>
    <col min="1" max="1" width="30.85546875" customWidth="1"/>
    <col min="2" max="2" width="36.7109375" customWidth="1"/>
    <col min="3" max="3" width="38" customWidth="1"/>
    <col min="4" max="4" width="39" customWidth="1"/>
    <col min="5" max="5" width="30" customWidth="1"/>
    <col min="6" max="6" width="13.7109375" customWidth="1"/>
    <col min="7" max="7" width="14.28515625" customWidth="1"/>
    <col min="8" max="8" width="13.5703125" customWidth="1"/>
    <col min="9" max="9" width="25.28515625" customWidth="1"/>
  </cols>
  <sheetData>
    <row r="1" spans="1:9" ht="29.25" customHeight="1">
      <c r="A1" s="71" t="s">
        <v>48</v>
      </c>
      <c r="B1" s="72"/>
      <c r="C1" s="72"/>
      <c r="D1" s="72"/>
      <c r="E1" s="73"/>
    </row>
    <row r="2" spans="1:9" ht="29.25" customHeight="1">
      <c r="A2" s="47" t="s">
        <v>0</v>
      </c>
      <c r="B2" s="48" t="s">
        <v>1</v>
      </c>
      <c r="C2" s="48" t="s">
        <v>2</v>
      </c>
      <c r="D2" s="48" t="s">
        <v>3</v>
      </c>
      <c r="E2" s="49" t="s">
        <v>4</v>
      </c>
    </row>
    <row r="3" spans="1:9" ht="29.25" customHeight="1">
      <c r="A3" s="50">
        <v>9400</v>
      </c>
      <c r="B3" s="51">
        <v>500</v>
      </c>
      <c r="C3" s="51">
        <v>3</v>
      </c>
      <c r="D3" s="51">
        <v>8</v>
      </c>
      <c r="E3" s="52">
        <v>210</v>
      </c>
    </row>
    <row r="4" spans="1:9" ht="29.25" customHeight="1">
      <c r="A4" s="50">
        <v>8700</v>
      </c>
      <c r="B4" s="51">
        <v>450</v>
      </c>
      <c r="C4" s="51">
        <v>2</v>
      </c>
      <c r="D4" s="51">
        <v>6</v>
      </c>
      <c r="E4" s="52">
        <v>180</v>
      </c>
    </row>
    <row r="5" spans="1:9" ht="29.25" customHeight="1">
      <c r="A5" s="50">
        <v>9100</v>
      </c>
      <c r="B5" s="51">
        <v>520</v>
      </c>
      <c r="C5" s="51">
        <v>3</v>
      </c>
      <c r="D5" s="51">
        <v>7</v>
      </c>
      <c r="E5" s="52">
        <v>200</v>
      </c>
    </row>
    <row r="6" spans="1:9" ht="29.25" customHeight="1">
      <c r="A6" s="50">
        <v>9800</v>
      </c>
      <c r="B6" s="51">
        <v>600</v>
      </c>
      <c r="C6" s="51">
        <v>3</v>
      </c>
      <c r="D6" s="51">
        <v>9</v>
      </c>
      <c r="E6" s="52">
        <v>230</v>
      </c>
    </row>
    <row r="7" spans="1:9" ht="29.25" customHeight="1">
      <c r="A7" s="50">
        <v>10300</v>
      </c>
      <c r="B7" s="51">
        <v>650</v>
      </c>
      <c r="C7" s="51">
        <v>3</v>
      </c>
      <c r="D7" s="51">
        <v>10</v>
      </c>
      <c r="E7" s="52">
        <v>250</v>
      </c>
    </row>
    <row r="8" spans="1:9" ht="29.25" customHeight="1">
      <c r="A8" s="50">
        <v>11200</v>
      </c>
      <c r="B8" s="51">
        <v>700</v>
      </c>
      <c r="C8" s="51">
        <v>4</v>
      </c>
      <c r="D8" s="51">
        <v>8</v>
      </c>
      <c r="E8" s="52">
        <v>270</v>
      </c>
    </row>
    <row r="9" spans="1:9" ht="29.25" customHeight="1">
      <c r="A9" s="50">
        <v>11800</v>
      </c>
      <c r="B9" s="51">
        <v>720</v>
      </c>
      <c r="C9" s="51">
        <v>4</v>
      </c>
      <c r="D9" s="51">
        <v>9</v>
      </c>
      <c r="E9" s="52">
        <v>280</v>
      </c>
    </row>
    <row r="10" spans="1:9" ht="29.25" customHeight="1">
      <c r="A10" s="50">
        <v>12100</v>
      </c>
      <c r="B10" s="51">
        <v>750</v>
      </c>
      <c r="C10" s="51">
        <v>4</v>
      </c>
      <c r="D10" s="51">
        <v>8</v>
      </c>
      <c r="E10" s="52">
        <v>300</v>
      </c>
    </row>
    <row r="11" spans="1:9" ht="29.25" customHeight="1">
      <c r="A11" s="50">
        <v>12600</v>
      </c>
      <c r="B11" s="51">
        <v>780</v>
      </c>
      <c r="C11" s="51">
        <v>4</v>
      </c>
      <c r="D11" s="51">
        <v>9</v>
      </c>
      <c r="E11" s="52">
        <v>310</v>
      </c>
    </row>
    <row r="12" spans="1:9" ht="29.25" customHeight="1">
      <c r="A12" s="53">
        <v>13400</v>
      </c>
      <c r="B12" s="54">
        <v>820</v>
      </c>
      <c r="C12" s="54">
        <v>4</v>
      </c>
      <c r="D12" s="54">
        <v>10</v>
      </c>
      <c r="E12" s="55">
        <v>320</v>
      </c>
    </row>
    <row r="16" spans="1:9" ht="36" customHeight="1">
      <c r="A16" s="63" t="s">
        <v>18</v>
      </c>
      <c r="B16" s="63" t="s">
        <v>24</v>
      </c>
      <c r="C16" s="63" t="s">
        <v>25</v>
      </c>
      <c r="D16" s="63" t="s">
        <v>26</v>
      </c>
      <c r="E16" s="63" t="s">
        <v>27</v>
      </c>
      <c r="F16" s="63" t="s">
        <v>13</v>
      </c>
      <c r="G16" s="63" t="s">
        <v>14</v>
      </c>
      <c r="H16" s="63" t="s">
        <v>15</v>
      </c>
      <c r="I16" s="63" t="s">
        <v>28</v>
      </c>
    </row>
    <row r="17" spans="1:10" ht="36" customHeight="1">
      <c r="A17" s="64" t="s">
        <v>29</v>
      </c>
      <c r="B17" s="64">
        <f>AVERAGE(A3:A12)</f>
        <v>10840</v>
      </c>
      <c r="C17" s="64">
        <f>MEDIAN(A3:A12)</f>
        <v>10750</v>
      </c>
      <c r="D17" s="64" t="e">
        <f>MODE(A3:A12)</f>
        <v>#N/A</v>
      </c>
      <c r="E17" s="64">
        <f>_xlfn.STDEV.S(A3:A12)</f>
        <v>1610.5209647122815</v>
      </c>
      <c r="F17" s="64">
        <f>QUARTILE(A3:A12,1)</f>
        <v>9500</v>
      </c>
      <c r="G17" s="64">
        <f>QUARTILE(A3:A12,3)</f>
        <v>12025</v>
      </c>
      <c r="H17" s="64">
        <f>G17-F17</f>
        <v>2525</v>
      </c>
      <c r="I17" s="64">
        <f>MAX(A3:A12)-MIN(A3:A12)</f>
        <v>4700</v>
      </c>
    </row>
    <row r="18" spans="1:10" ht="36" customHeight="1">
      <c r="A18" s="64" t="s">
        <v>20</v>
      </c>
      <c r="B18" s="64">
        <f>AVERAGE(B3:B12)</f>
        <v>649</v>
      </c>
      <c r="C18" s="64">
        <f>MEDIAN(B3:B12)</f>
        <v>675</v>
      </c>
      <c r="D18" s="64" t="e">
        <f>MODE(B3:B12)</f>
        <v>#N/A</v>
      </c>
      <c r="E18" s="64">
        <f>_xlfn.STDEV.S(B3:B12)</f>
        <v>126.9689375836118</v>
      </c>
      <c r="F18" s="64">
        <f>QUARTILE(B3:B12,1)</f>
        <v>540</v>
      </c>
      <c r="G18" s="64">
        <f>QUARTILE(B3:B12,3)</f>
        <v>742.5</v>
      </c>
      <c r="H18" s="64">
        <f>G18-F18</f>
        <v>202.5</v>
      </c>
      <c r="I18" s="64">
        <f>MAX(B3:B12)-MIN(B3:B12)</f>
        <v>370</v>
      </c>
    </row>
    <row r="19" spans="1:10" ht="36" customHeight="1">
      <c r="A19" s="64" t="s">
        <v>21</v>
      </c>
      <c r="B19" s="64">
        <f>AVERAGE(C3:C12)</f>
        <v>3.4</v>
      </c>
      <c r="C19" s="64">
        <f>MEDIAN(C3:C12)</f>
        <v>3.5</v>
      </c>
      <c r="D19" s="21">
        <f>MODE(C3:C12)</f>
        <v>4</v>
      </c>
      <c r="E19" s="64">
        <f>_xlfn.STDEV.S(C3:C12)</f>
        <v>0.69920589878010153</v>
      </c>
      <c r="F19" s="64">
        <f>QUARTILE(C3:C12,1)</f>
        <v>3</v>
      </c>
      <c r="G19" s="64">
        <f>QUARTILE(C3:C12,3)</f>
        <v>4</v>
      </c>
      <c r="H19" s="64">
        <f>G19-F19</f>
        <v>1</v>
      </c>
      <c r="I19" s="64">
        <f>MAX(C3:C12)-MIN(C3:C12)</f>
        <v>2</v>
      </c>
    </row>
    <row r="20" spans="1:10" ht="36" customHeight="1">
      <c r="A20" s="64" t="s">
        <v>30</v>
      </c>
      <c r="B20" s="64">
        <f>AVERAGE(D3:D12)</f>
        <v>8.4</v>
      </c>
      <c r="C20" s="64">
        <f>MEDIAN(D3:D12)</f>
        <v>8.5</v>
      </c>
      <c r="D20" s="64">
        <f>MODE(D3:D12)</f>
        <v>8</v>
      </c>
      <c r="E20" s="64">
        <f>_xlfn.STDEV.S(D3:D12)</f>
        <v>1.2649110640673507</v>
      </c>
      <c r="F20" s="64">
        <f>QUARTILE(D3:D12,1)</f>
        <v>8</v>
      </c>
      <c r="G20" s="64">
        <f>QUARTILE(D3:D12,3)</f>
        <v>9</v>
      </c>
      <c r="H20" s="64">
        <f>G20-F20</f>
        <v>1</v>
      </c>
      <c r="I20" s="64">
        <f>MAX(D3:D12)-MIN(D3:D12)</f>
        <v>4</v>
      </c>
    </row>
    <row r="21" spans="1:10" ht="36" customHeight="1">
      <c r="A21" s="64" t="s">
        <v>23</v>
      </c>
      <c r="B21" s="64">
        <f>AVERAGE(E3:E12)</f>
        <v>255</v>
      </c>
      <c r="C21" s="64">
        <f>MEDIAN(E3:E12)</f>
        <v>260</v>
      </c>
      <c r="D21" s="64" t="e">
        <f>MODE(E3:E12)</f>
        <v>#N/A</v>
      </c>
      <c r="E21" s="64">
        <f>_xlfn.STDEV.S(E3:E12)</f>
        <v>48.819395052922701</v>
      </c>
      <c r="F21" s="64">
        <f>QUARTILE(E3:E12,1)</f>
        <v>215</v>
      </c>
      <c r="G21" s="64">
        <f>QUARTILE(E3:E12,3)</f>
        <v>295</v>
      </c>
      <c r="H21" s="64">
        <f>G21-F21</f>
        <v>80</v>
      </c>
      <c r="I21" s="64">
        <f>MAX(E3:E12)-MIN(E3:E12)</f>
        <v>140</v>
      </c>
    </row>
    <row r="24" spans="1:10" ht="33.75" customHeight="1">
      <c r="A24" s="65" t="s">
        <v>32</v>
      </c>
      <c r="B24" s="65"/>
      <c r="C24" s="65"/>
      <c r="D24" s="65"/>
      <c r="E24" s="65"/>
      <c r="F24" s="65"/>
      <c r="G24" s="65"/>
      <c r="H24" s="65"/>
      <c r="I24" s="65"/>
    </row>
    <row r="25" spans="1:10" ht="33.75" customHeight="1">
      <c r="A25" s="63" t="s">
        <v>33</v>
      </c>
      <c r="B25" s="63" t="s">
        <v>34</v>
      </c>
      <c r="C25" s="63" t="s">
        <v>35</v>
      </c>
      <c r="D25" s="63" t="s">
        <v>36</v>
      </c>
      <c r="E25" s="68" t="s">
        <v>37</v>
      </c>
      <c r="F25" s="68"/>
      <c r="G25" s="68"/>
      <c r="H25" s="68" t="s">
        <v>38</v>
      </c>
      <c r="I25" s="68"/>
      <c r="J25" s="2"/>
    </row>
    <row r="26" spans="1:10" ht="33.75" customHeight="1">
      <c r="A26" s="41" t="s">
        <v>20</v>
      </c>
      <c r="B26" s="38">
        <f xml:space="preserve"> CORREL(A3:A12,B3:B12)</f>
        <v>0.97664866268417805</v>
      </c>
      <c r="C26" s="38">
        <f>SLOPE(A3:A12,B3:B12)</f>
        <v>12.388172858225929</v>
      </c>
      <c r="D26" s="38">
        <f>INTERCEPT(A3:A12,B3:B12)</f>
        <v>2800.0758150113725</v>
      </c>
      <c r="E26" s="74">
        <f>B26*B26</f>
        <v>0.95384261032279338</v>
      </c>
      <c r="F26" s="74"/>
      <c r="G26" s="74"/>
      <c r="H26" s="74" t="s">
        <v>39</v>
      </c>
      <c r="I26" s="74"/>
      <c r="J26" s="39"/>
    </row>
    <row r="27" spans="1:10" ht="33.75" customHeight="1">
      <c r="A27" s="38" t="s">
        <v>21</v>
      </c>
      <c r="B27" s="38">
        <f xml:space="preserve"> CORREL(A3:A12,C3:C12)</f>
        <v>0.89197864082859946</v>
      </c>
      <c r="C27" s="38">
        <f>SLOPE(A3:A12,C3:C12)</f>
        <v>2054.545454545454</v>
      </c>
      <c r="D27" s="38">
        <f>INTERCEPT(A3:A12,C3:C12)</f>
        <v>3854.5454545454568</v>
      </c>
      <c r="E27" s="74">
        <f>B27*B27</f>
        <v>0.79562589569443565</v>
      </c>
      <c r="F27" s="74"/>
      <c r="G27" s="74"/>
      <c r="H27" s="74" t="s">
        <v>39</v>
      </c>
      <c r="I27" s="74"/>
      <c r="J27" s="39"/>
    </row>
    <row r="28" spans="1:10" ht="33.75" customHeight="1">
      <c r="A28" s="38" t="s">
        <v>30</v>
      </c>
      <c r="B28" s="38">
        <f xml:space="preserve"> CORREL(A3:A12,D3:D12)</f>
        <v>0.6403231649850567</v>
      </c>
      <c r="C28" s="38">
        <f>SLOPE(A3:A12,D3:D12)</f>
        <v>815.27777777777783</v>
      </c>
      <c r="D28" s="38">
        <f>INTERCEPT(A3:A12,D3:D12)</f>
        <v>3991.6666666666661</v>
      </c>
      <c r="E28" s="74">
        <f>B28*B28</f>
        <v>0.41001375561648012</v>
      </c>
      <c r="F28" s="74"/>
      <c r="G28" s="74"/>
      <c r="H28" s="74" t="s">
        <v>40</v>
      </c>
      <c r="I28" s="74"/>
      <c r="J28" s="39"/>
    </row>
    <row r="29" spans="1:10" ht="33.75" customHeight="1">
      <c r="A29" s="38" t="s">
        <v>23</v>
      </c>
      <c r="B29" s="38">
        <f>CORREL(A3:A12,E3:E12)</f>
        <v>0.98781562222115749</v>
      </c>
      <c r="C29" s="38">
        <f>SLOPE(A3:A12,E3:E12)</f>
        <v>32.587412587412587</v>
      </c>
      <c r="D29" s="38">
        <f>INTERCEPT(A3:A12,E3:E12)</f>
        <v>2530.2097902097903</v>
      </c>
      <c r="E29" s="74">
        <f>B29*B29</f>
        <v>0.97577970350417254</v>
      </c>
      <c r="F29" s="74"/>
      <c r="G29" s="74"/>
      <c r="H29" s="74" t="s">
        <v>41</v>
      </c>
      <c r="I29" s="74"/>
      <c r="J29" s="39"/>
    </row>
    <row r="30" spans="1:10">
      <c r="A30" s="1"/>
      <c r="B30" s="1"/>
      <c r="C30" s="1"/>
      <c r="D30" s="1"/>
      <c r="E30" s="1"/>
      <c r="F30" s="1"/>
      <c r="G30" s="2"/>
      <c r="H30" s="2"/>
    </row>
    <row r="32" spans="1:10" ht="17.25">
      <c r="E32" s="56"/>
    </row>
    <row r="33" spans="1:9">
      <c r="A33" s="45"/>
      <c r="B33" s="45"/>
      <c r="C33" s="45"/>
      <c r="D33" s="45"/>
      <c r="E33" s="45"/>
      <c r="F33" s="45"/>
      <c r="G33" s="45"/>
      <c r="H33" s="45"/>
      <c r="I33" s="45"/>
    </row>
    <row r="34" spans="1:9">
      <c r="A34" s="45"/>
      <c r="B34" s="42"/>
      <c r="C34" s="43"/>
      <c r="D34" s="43"/>
      <c r="E34" s="43"/>
      <c r="F34" s="44"/>
      <c r="G34" s="45"/>
      <c r="H34" s="45"/>
      <c r="I34" s="45"/>
    </row>
    <row r="35" spans="1:9">
      <c r="A35" s="45"/>
      <c r="B35" s="22"/>
      <c r="C35" s="23"/>
      <c r="D35" s="23"/>
      <c r="E35" s="23"/>
      <c r="F35" s="24"/>
      <c r="G35" s="45"/>
      <c r="H35" s="45"/>
      <c r="I35" s="45"/>
    </row>
    <row r="36" spans="1:9">
      <c r="A36" s="45"/>
      <c r="B36" s="25"/>
      <c r="C36" s="26"/>
      <c r="D36" s="26"/>
      <c r="E36" s="26"/>
      <c r="F36" s="27"/>
      <c r="G36" s="45"/>
      <c r="H36" s="45"/>
      <c r="I36" s="45"/>
    </row>
    <row r="37" spans="1:9">
      <c r="A37" s="45"/>
      <c r="B37" s="25"/>
      <c r="C37" s="26"/>
      <c r="D37" s="26"/>
      <c r="E37" s="26"/>
      <c r="F37" s="27"/>
      <c r="G37" s="45"/>
      <c r="H37" s="45"/>
      <c r="I37" s="45"/>
    </row>
    <row r="38" spans="1:9">
      <c r="A38" s="45"/>
      <c r="B38" s="25"/>
      <c r="C38" s="26"/>
      <c r="D38" s="26"/>
      <c r="E38" s="26"/>
      <c r="F38" s="27"/>
      <c r="G38" s="45"/>
      <c r="H38" s="45"/>
      <c r="I38" s="45"/>
    </row>
    <row r="39" spans="1:9">
      <c r="A39" s="45"/>
      <c r="B39" s="25"/>
      <c r="C39" s="26"/>
      <c r="D39" s="26"/>
      <c r="E39" s="26"/>
      <c r="F39" s="27"/>
      <c r="G39" s="45"/>
      <c r="H39" s="45"/>
      <c r="I39" s="45"/>
    </row>
    <row r="40" spans="1:9">
      <c r="A40" s="45"/>
      <c r="B40" s="25"/>
      <c r="C40" s="26"/>
      <c r="D40" s="26"/>
      <c r="E40" s="26"/>
      <c r="F40" s="27"/>
      <c r="G40" s="45"/>
      <c r="H40" s="45"/>
      <c r="I40" s="45"/>
    </row>
    <row r="41" spans="1:9">
      <c r="A41" s="45"/>
      <c r="B41" s="25"/>
      <c r="C41" s="26"/>
      <c r="D41" s="26"/>
      <c r="E41" s="26"/>
      <c r="F41" s="27"/>
      <c r="G41" s="45"/>
      <c r="H41" s="45"/>
      <c r="I41" s="45"/>
    </row>
    <row r="42" spans="1:9">
      <c r="A42" s="45"/>
      <c r="B42" s="25"/>
      <c r="C42" s="26"/>
      <c r="D42" s="26"/>
      <c r="E42" s="26"/>
      <c r="F42" s="27"/>
      <c r="G42" s="45"/>
      <c r="H42" s="45"/>
      <c r="I42" s="45"/>
    </row>
    <row r="43" spans="1:9">
      <c r="A43" s="45"/>
      <c r="B43" s="25"/>
      <c r="C43" s="26"/>
      <c r="D43" s="26"/>
      <c r="E43" s="26"/>
      <c r="F43" s="27"/>
      <c r="G43" s="45"/>
      <c r="H43" s="45"/>
      <c r="I43" s="45"/>
    </row>
    <row r="44" spans="1:9">
      <c r="A44" s="45"/>
      <c r="B44" s="25"/>
      <c r="C44" s="26"/>
      <c r="D44" s="26"/>
      <c r="E44" s="26"/>
      <c r="F44" s="27"/>
      <c r="G44" s="45"/>
      <c r="H44" s="45"/>
      <c r="I44" s="45"/>
    </row>
    <row r="45" spans="1:9">
      <c r="A45" s="45"/>
      <c r="B45" s="28"/>
      <c r="C45" s="29"/>
      <c r="D45" s="29"/>
      <c r="E45" s="29"/>
      <c r="F45" s="30"/>
      <c r="G45" s="45"/>
      <c r="H45" s="45"/>
      <c r="I45" s="45"/>
    </row>
    <row r="46" spans="1:9">
      <c r="A46" s="46"/>
      <c r="B46" s="46"/>
      <c r="C46" s="46"/>
      <c r="D46" s="46"/>
      <c r="E46" s="46"/>
      <c r="F46" s="46"/>
      <c r="G46" s="46"/>
      <c r="H46" s="46"/>
      <c r="I46" s="46"/>
    </row>
  </sheetData>
  <mergeCells count="12">
    <mergeCell ref="E27:G27"/>
    <mergeCell ref="E28:G28"/>
    <mergeCell ref="E29:G29"/>
    <mergeCell ref="H26:I26"/>
    <mergeCell ref="H27:I27"/>
    <mergeCell ref="H28:I28"/>
    <mergeCell ref="H29:I29"/>
    <mergeCell ref="A1:E1"/>
    <mergeCell ref="E25:G25"/>
    <mergeCell ref="E26:G26"/>
    <mergeCell ref="H25:I25"/>
    <mergeCell ref="A24:I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A794-6362-47FD-840D-F52E82E71585}">
  <dimension ref="A1:E11"/>
  <sheetViews>
    <sheetView workbookViewId="0">
      <selection sqref="A1:E1"/>
    </sheetView>
  </sheetViews>
  <sheetFormatPr defaultRowHeight="15"/>
  <cols>
    <col min="1" max="1" width="22.140625" bestFit="1" customWidth="1"/>
    <col min="2" max="2" width="18.140625" bestFit="1" customWidth="1"/>
    <col min="3" max="3" width="28.28515625" bestFit="1" customWidth="1"/>
    <col min="4" max="4" width="31.7109375" bestFit="1" customWidth="1"/>
    <col min="5" max="5" width="14.85546875" bestFit="1" customWidth="1"/>
  </cols>
  <sheetData>
    <row r="1" spans="1:5">
      <c r="A1" s="71" t="s">
        <v>49</v>
      </c>
      <c r="B1" s="72"/>
      <c r="C1" s="72"/>
      <c r="D1" s="72"/>
      <c r="E1" s="73"/>
    </row>
    <row r="2" spans="1:5">
      <c r="A2" s="22" t="s">
        <v>0</v>
      </c>
      <c r="B2" s="23" t="s">
        <v>1</v>
      </c>
      <c r="C2" s="23" t="s">
        <v>2</v>
      </c>
      <c r="D2" s="23" t="s">
        <v>3</v>
      </c>
      <c r="E2" s="24" t="s">
        <v>4</v>
      </c>
    </row>
    <row r="3" spans="1:5">
      <c r="A3" s="25">
        <v>15000</v>
      </c>
      <c r="B3" s="26">
        <v>900</v>
      </c>
      <c r="C3" s="26">
        <v>5</v>
      </c>
      <c r="D3" s="26">
        <v>5</v>
      </c>
      <c r="E3" s="27">
        <v>340</v>
      </c>
    </row>
    <row r="4" spans="1:5">
      <c r="A4" s="25">
        <v>13200</v>
      </c>
      <c r="B4" s="26">
        <v>800</v>
      </c>
      <c r="C4" s="26">
        <v>4</v>
      </c>
      <c r="D4" s="26">
        <v>4</v>
      </c>
      <c r="E4" s="27">
        <v>290</v>
      </c>
    </row>
    <row r="5" spans="1:5">
      <c r="A5" s="25">
        <v>14700</v>
      </c>
      <c r="B5" s="26">
        <v>850</v>
      </c>
      <c r="C5" s="26">
        <v>4</v>
      </c>
      <c r="D5" s="26">
        <v>5</v>
      </c>
      <c r="E5" s="27">
        <v>320</v>
      </c>
    </row>
    <row r="6" spans="1:5">
      <c r="A6" s="25">
        <v>15900</v>
      </c>
      <c r="B6" s="26">
        <v>950</v>
      </c>
      <c r="C6" s="26">
        <v>5</v>
      </c>
      <c r="D6" s="26">
        <v>6</v>
      </c>
      <c r="E6" s="27">
        <v>350</v>
      </c>
    </row>
    <row r="7" spans="1:5">
      <c r="A7" s="25">
        <v>16400</v>
      </c>
      <c r="B7" s="26">
        <v>1000</v>
      </c>
      <c r="C7" s="26">
        <v>5</v>
      </c>
      <c r="D7" s="26">
        <v>5</v>
      </c>
      <c r="E7" s="27">
        <v>360</v>
      </c>
    </row>
    <row r="8" spans="1:5">
      <c r="A8" s="25">
        <v>17100</v>
      </c>
      <c r="B8" s="26">
        <v>1050</v>
      </c>
      <c r="C8" s="26">
        <v>6</v>
      </c>
      <c r="D8" s="26">
        <v>6</v>
      </c>
      <c r="E8" s="27">
        <v>380</v>
      </c>
    </row>
    <row r="9" spans="1:5">
      <c r="A9" s="25">
        <v>17600</v>
      </c>
      <c r="B9" s="26">
        <v>1100</v>
      </c>
      <c r="C9" s="26">
        <v>6</v>
      </c>
      <c r="D9" s="26">
        <v>6</v>
      </c>
      <c r="E9" s="27">
        <v>390</v>
      </c>
    </row>
    <row r="10" spans="1:5">
      <c r="A10" s="25">
        <v>18300</v>
      </c>
      <c r="B10" s="26">
        <v>1200</v>
      </c>
      <c r="C10" s="26">
        <v>6</v>
      </c>
      <c r="D10" s="26">
        <v>7</v>
      </c>
      <c r="E10" s="27">
        <v>410</v>
      </c>
    </row>
    <row r="11" spans="1:5">
      <c r="A11" s="28">
        <v>19100</v>
      </c>
      <c r="B11" s="29">
        <v>1300</v>
      </c>
      <c r="C11" s="29">
        <v>7</v>
      </c>
      <c r="D11" s="29">
        <v>7</v>
      </c>
      <c r="E11" s="30">
        <v>430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D41C-BF95-4207-AFE4-8A8D362B612B}">
  <dimension ref="A1:F72"/>
  <sheetViews>
    <sheetView workbookViewId="0">
      <selection activeCell="C4" sqref="C4"/>
    </sheetView>
  </sheetViews>
  <sheetFormatPr defaultRowHeight="15"/>
  <cols>
    <col min="1" max="1" width="32.42578125" customWidth="1"/>
    <col min="2" max="2" width="20.42578125" customWidth="1"/>
    <col min="3" max="3" width="18.85546875" customWidth="1"/>
    <col min="4" max="4" width="20.85546875" customWidth="1"/>
    <col min="5" max="5" width="17.85546875" customWidth="1"/>
    <col min="6" max="6" width="40.42578125" customWidth="1"/>
  </cols>
  <sheetData>
    <row r="1" spans="1:6" ht="23.25" customHeight="1">
      <c r="A1" s="65" t="s">
        <v>50</v>
      </c>
      <c r="B1" s="65"/>
      <c r="C1" s="65"/>
      <c r="D1" s="65"/>
      <c r="E1" s="65"/>
    </row>
    <row r="2" spans="1:6" ht="30.75">
      <c r="A2" s="63" t="s">
        <v>33</v>
      </c>
      <c r="B2" s="63" t="s">
        <v>34</v>
      </c>
      <c r="C2" s="63" t="s">
        <v>35</v>
      </c>
      <c r="D2" s="63" t="s">
        <v>36</v>
      </c>
      <c r="E2" s="14" t="s">
        <v>37</v>
      </c>
      <c r="F2" s="10" t="s">
        <v>38</v>
      </c>
    </row>
    <row r="3" spans="1:6" ht="38.25" customHeight="1">
      <c r="A3" s="11" t="s">
        <v>20</v>
      </c>
      <c r="B3" s="13">
        <v>0.99350000000000005</v>
      </c>
      <c r="C3" s="13">
        <v>6.9020999999999999</v>
      </c>
      <c r="D3" s="13">
        <v>10111.580599999999</v>
      </c>
      <c r="E3" s="13">
        <v>0.98709999999999998</v>
      </c>
      <c r="F3" s="13" t="s">
        <v>39</v>
      </c>
    </row>
    <row r="4" spans="1:6" ht="38.25" customHeight="1">
      <c r="A4" s="12" t="s">
        <v>21</v>
      </c>
      <c r="B4" s="13">
        <v>0.87019999999999997</v>
      </c>
      <c r="C4" s="13">
        <v>1398.1402</v>
      </c>
      <c r="D4" s="13">
        <v>11100.7153</v>
      </c>
      <c r="E4" s="13">
        <v>0.75719999999999998</v>
      </c>
      <c r="F4" s="13" t="s">
        <v>39</v>
      </c>
    </row>
    <row r="5" spans="1:6" ht="38.25" customHeight="1">
      <c r="A5" s="12" t="s">
        <v>30</v>
      </c>
      <c r="B5" s="13">
        <v>0.4612</v>
      </c>
      <c r="C5" s="13">
        <v>917.54390000000001</v>
      </c>
      <c r="D5" s="13">
        <v>15941.6667</v>
      </c>
      <c r="E5" s="13">
        <v>0.2127</v>
      </c>
      <c r="F5" s="13" t="s">
        <v>40</v>
      </c>
    </row>
    <row r="6" spans="1:6" ht="38.25" customHeight="1">
      <c r="A6" s="12" t="s">
        <v>23</v>
      </c>
      <c r="B6" s="13">
        <v>0.99239999999999995</v>
      </c>
      <c r="C6" s="13">
        <v>43.548200000000001</v>
      </c>
      <c r="D6" s="13">
        <v>-100.21339999999999</v>
      </c>
      <c r="E6" s="13">
        <v>0.98480000000000001</v>
      </c>
      <c r="F6" s="13" t="s">
        <v>41</v>
      </c>
    </row>
    <row r="7" spans="1:6" ht="18.75" customHeight="1"/>
    <row r="14" spans="1:6" ht="18.75">
      <c r="A14" s="13"/>
    </row>
    <row r="17" spans="1:6">
      <c r="A17" s="65"/>
      <c r="B17" s="65"/>
      <c r="C17" s="65"/>
      <c r="D17" s="65"/>
      <c r="E17" s="65"/>
    </row>
    <row r="18" spans="1:6">
      <c r="A18" s="65" t="s">
        <v>51</v>
      </c>
      <c r="B18" s="65"/>
      <c r="C18" s="65"/>
      <c r="D18" s="65"/>
      <c r="E18" s="65"/>
    </row>
    <row r="19" spans="1:6" ht="30.75">
      <c r="A19" s="63" t="s">
        <v>33</v>
      </c>
      <c r="B19" s="63" t="s">
        <v>34</v>
      </c>
      <c r="C19" s="63" t="s">
        <v>35</v>
      </c>
      <c r="D19" s="63" t="s">
        <v>36</v>
      </c>
      <c r="E19" s="14" t="s">
        <v>37</v>
      </c>
      <c r="F19" s="10" t="s">
        <v>38</v>
      </c>
    </row>
    <row r="20" spans="1:6" ht="18.75">
      <c r="A20" s="11" t="s">
        <v>20</v>
      </c>
      <c r="B20" s="13">
        <v>0.99590000000000001</v>
      </c>
      <c r="C20" s="13">
        <v>3.476</v>
      </c>
      <c r="D20" s="13">
        <v>18343.197</v>
      </c>
      <c r="E20" s="13">
        <v>0.99180000000000001</v>
      </c>
      <c r="F20" s="13" t="s">
        <v>41</v>
      </c>
    </row>
    <row r="21" spans="1:6" ht="18.75">
      <c r="A21" s="12" t="s">
        <v>21</v>
      </c>
      <c r="B21" s="13">
        <v>0.99219999999999997</v>
      </c>
      <c r="C21" s="13">
        <v>1251.4412</v>
      </c>
      <c r="D21" s="13">
        <v>14399.8799</v>
      </c>
      <c r="E21" s="13">
        <v>0.98450000000000004</v>
      </c>
      <c r="F21" s="13" t="s">
        <v>41</v>
      </c>
    </row>
    <row r="22" spans="1:6" ht="18.75">
      <c r="A22" s="12" t="s">
        <v>30</v>
      </c>
      <c r="B22" s="13">
        <v>0.81869999999999998</v>
      </c>
      <c r="C22" s="13">
        <v>1554.7186999999999</v>
      </c>
      <c r="D22" s="13">
        <v>17700.635200000001</v>
      </c>
      <c r="E22" s="13">
        <v>0.67030000000000001</v>
      </c>
      <c r="F22" s="13" t="s">
        <v>41</v>
      </c>
    </row>
    <row r="23" spans="1:6" ht="18.75">
      <c r="A23" s="12" t="s">
        <v>23</v>
      </c>
      <c r="B23" s="13">
        <v>0.99629999999999996</v>
      </c>
      <c r="C23" s="13">
        <v>35.2241</v>
      </c>
      <c r="D23" s="13">
        <v>5348.5600999999997</v>
      </c>
      <c r="E23" s="13">
        <v>0.99260000000000004</v>
      </c>
      <c r="F23" s="13" t="s">
        <v>41</v>
      </c>
    </row>
    <row r="35" spans="1:6">
      <c r="A35" s="65" t="s">
        <v>52</v>
      </c>
      <c r="B35" s="65"/>
      <c r="C35" s="65"/>
      <c r="D35" s="65"/>
      <c r="E35" s="65"/>
    </row>
    <row r="36" spans="1:6" ht="30.75">
      <c r="A36" s="63" t="s">
        <v>33</v>
      </c>
      <c r="B36" s="63" t="s">
        <v>34</v>
      </c>
      <c r="C36" s="63" t="s">
        <v>35</v>
      </c>
      <c r="D36" s="63" t="s">
        <v>36</v>
      </c>
      <c r="E36" s="14" t="s">
        <v>37</v>
      </c>
      <c r="F36" s="10" t="s">
        <v>38</v>
      </c>
    </row>
    <row r="37" spans="1:6" ht="18.75">
      <c r="A37" s="11" t="s">
        <v>20</v>
      </c>
      <c r="B37" s="13">
        <v>0.99009999999999998</v>
      </c>
      <c r="C37" s="13">
        <v>4.2123999999999997</v>
      </c>
      <c r="D37" s="13">
        <v>14337.8109</v>
      </c>
      <c r="E37" s="13">
        <v>0.98019999999999996</v>
      </c>
      <c r="F37" s="13" t="s">
        <v>41</v>
      </c>
    </row>
    <row r="38" spans="1:6" ht="18.75">
      <c r="A38" s="12" t="s">
        <v>21</v>
      </c>
      <c r="B38" s="13">
        <v>0.9798</v>
      </c>
      <c r="C38" s="13">
        <v>1138.7741000000001</v>
      </c>
      <c r="D38" s="13">
        <v>14448.1405</v>
      </c>
      <c r="E38" s="13">
        <v>0.96</v>
      </c>
      <c r="F38" s="13" t="s">
        <v>41</v>
      </c>
    </row>
    <row r="39" spans="1:6" ht="18.75">
      <c r="A39" s="12" t="s">
        <v>30</v>
      </c>
      <c r="B39" s="13">
        <v>0.88690000000000002</v>
      </c>
      <c r="C39" s="13">
        <v>2245.4247999999998</v>
      </c>
      <c r="D39" s="13">
        <v>6819.9345999999996</v>
      </c>
      <c r="E39" s="13">
        <v>0.78649999999999998</v>
      </c>
      <c r="F39" s="13" t="s">
        <v>41</v>
      </c>
    </row>
    <row r="40" spans="1:6" ht="18.75">
      <c r="A40" s="12" t="s">
        <v>23</v>
      </c>
      <c r="B40" s="13">
        <v>0.99209999999999998</v>
      </c>
      <c r="C40" s="13">
        <v>37.418399999999998</v>
      </c>
      <c r="D40" s="13">
        <v>2707.3240999999998</v>
      </c>
      <c r="E40" s="13">
        <v>0.98429999999999995</v>
      </c>
      <c r="F40" s="13" t="s">
        <v>41</v>
      </c>
    </row>
    <row r="51" spans="1:6">
      <c r="A51" s="65" t="s">
        <v>53</v>
      </c>
      <c r="B51" s="65"/>
      <c r="C51" s="65"/>
      <c r="D51" s="65"/>
      <c r="E51" s="65"/>
    </row>
    <row r="52" spans="1:6" ht="30.75">
      <c r="A52" s="63" t="s">
        <v>33</v>
      </c>
      <c r="B52" s="63" t="s">
        <v>34</v>
      </c>
      <c r="C52" s="63" t="s">
        <v>35</v>
      </c>
      <c r="D52" s="63" t="s">
        <v>36</v>
      </c>
      <c r="E52" s="14" t="s">
        <v>37</v>
      </c>
      <c r="F52" s="10" t="s">
        <v>38</v>
      </c>
    </row>
    <row r="53" spans="1:6" ht="18.75">
      <c r="A53" s="11" t="s">
        <v>20</v>
      </c>
      <c r="B53" s="13">
        <v>0.97660000000000002</v>
      </c>
      <c r="C53" s="13">
        <v>12.388199999999999</v>
      </c>
      <c r="D53" s="13">
        <v>2800.0758000000001</v>
      </c>
      <c r="E53" s="13">
        <v>0.95369999999999999</v>
      </c>
      <c r="F53" s="13" t="s">
        <v>41</v>
      </c>
    </row>
    <row r="54" spans="1:6" ht="21.75">
      <c r="A54" s="12" t="s">
        <v>21</v>
      </c>
      <c r="B54" s="13">
        <v>0.89200000000000002</v>
      </c>
      <c r="C54" s="16">
        <v>2054.5455000000002</v>
      </c>
      <c r="D54" s="13">
        <v>3854.5455000000002</v>
      </c>
      <c r="E54" s="13">
        <v>0.79569999999999996</v>
      </c>
      <c r="F54" s="13" t="s">
        <v>41</v>
      </c>
    </row>
    <row r="55" spans="1:6" ht="18.75">
      <c r="A55" s="12" t="s">
        <v>30</v>
      </c>
      <c r="B55" s="13">
        <v>0.64029999999999998</v>
      </c>
      <c r="C55" s="13">
        <v>815.27779999999996</v>
      </c>
      <c r="D55" s="13">
        <v>3991.6667000000002</v>
      </c>
      <c r="E55" s="13">
        <v>0.40989999999999999</v>
      </c>
      <c r="F55" s="13" t="s">
        <v>40</v>
      </c>
    </row>
    <row r="56" spans="1:6" ht="18.75">
      <c r="A56" s="12" t="s">
        <v>23</v>
      </c>
      <c r="B56" s="13">
        <v>0.98780000000000001</v>
      </c>
      <c r="C56" s="13">
        <v>32.587400000000002</v>
      </c>
      <c r="D56" s="13">
        <v>2530.21</v>
      </c>
      <c r="E56" s="13">
        <v>0.97570000000000001</v>
      </c>
      <c r="F56" s="13" t="s">
        <v>41</v>
      </c>
    </row>
    <row r="67" spans="1:6">
      <c r="A67" s="65" t="s">
        <v>54</v>
      </c>
      <c r="B67" s="65"/>
      <c r="C67" s="65"/>
      <c r="D67" s="65"/>
      <c r="E67" s="65"/>
    </row>
    <row r="68" spans="1:6" ht="30.75">
      <c r="A68" s="63" t="s">
        <v>33</v>
      </c>
      <c r="B68" s="63" t="s">
        <v>34</v>
      </c>
      <c r="C68" s="63" t="s">
        <v>35</v>
      </c>
      <c r="D68" s="63" t="s">
        <v>36</v>
      </c>
      <c r="E68" s="14" t="s">
        <v>37</v>
      </c>
      <c r="F68" s="10" t="s">
        <v>38</v>
      </c>
    </row>
    <row r="69" spans="1:6" ht="18.75">
      <c r="A69" s="11" t="s">
        <v>20</v>
      </c>
      <c r="B69" s="13">
        <v>0.97940000000000005</v>
      </c>
      <c r="C69" s="13">
        <v>11.209300000000001</v>
      </c>
      <c r="D69" s="13">
        <v>4970.5425999999998</v>
      </c>
      <c r="E69" s="13">
        <v>0.95920000000000005</v>
      </c>
      <c r="F69" s="13" t="s">
        <v>41</v>
      </c>
    </row>
    <row r="70" spans="1:6" ht="18.75">
      <c r="A70" s="12" t="s">
        <v>21</v>
      </c>
      <c r="B70" s="13">
        <v>0.94610000000000005</v>
      </c>
      <c r="C70" s="13">
        <v>1775</v>
      </c>
      <c r="D70" s="13">
        <v>6900</v>
      </c>
      <c r="E70" s="13">
        <v>0.89510000000000001</v>
      </c>
      <c r="F70" s="13" t="s">
        <v>41</v>
      </c>
    </row>
    <row r="71" spans="1:6" ht="18.75">
      <c r="A71" s="12" t="s">
        <v>30</v>
      </c>
      <c r="B71" s="13">
        <v>0.93279999999999996</v>
      </c>
      <c r="C71" s="13">
        <v>1750</v>
      </c>
      <c r="D71" s="13">
        <v>6450</v>
      </c>
      <c r="E71" s="13">
        <v>0.87009999999999998</v>
      </c>
      <c r="F71" s="13" t="s">
        <v>41</v>
      </c>
    </row>
    <row r="72" spans="1:6" ht="18.75">
      <c r="A72" s="12" t="s">
        <v>23</v>
      </c>
      <c r="B72" s="13">
        <v>0.99580000000000002</v>
      </c>
      <c r="C72" s="13">
        <v>42.307699999999997</v>
      </c>
      <c r="D72" s="13">
        <v>994.87180000000001</v>
      </c>
      <c r="E72" s="13">
        <v>0.99160000000000004</v>
      </c>
      <c r="F72" s="13" t="s">
        <v>41</v>
      </c>
    </row>
  </sheetData>
  <mergeCells count="6">
    <mergeCell ref="A67:E67"/>
    <mergeCell ref="A1:E1"/>
    <mergeCell ref="A18:E18"/>
    <mergeCell ref="A17:E17"/>
    <mergeCell ref="A35:E35"/>
    <mergeCell ref="A51:E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1BD2-8134-49A9-9080-60A1345443A1}">
  <dimension ref="A1:J14"/>
  <sheetViews>
    <sheetView workbookViewId="0">
      <selection activeCell="I12" sqref="I12"/>
    </sheetView>
  </sheetViews>
  <sheetFormatPr defaultRowHeight="15"/>
  <cols>
    <col min="1" max="1" width="27" customWidth="1"/>
    <col min="2" max="2" width="14.140625" customWidth="1"/>
    <col min="3" max="3" width="13.7109375" customWidth="1"/>
    <col min="4" max="4" width="12.7109375" customWidth="1"/>
    <col min="5" max="5" width="15" customWidth="1"/>
    <col min="6" max="6" width="14.28515625" customWidth="1"/>
    <col min="7" max="7" width="14.7109375" customWidth="1"/>
  </cols>
  <sheetData>
    <row r="1" spans="1:10" ht="18.75">
      <c r="A1" s="66" t="s">
        <v>55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9.25" customHeight="1">
      <c r="A2" s="63" t="s">
        <v>18</v>
      </c>
      <c r="B2" s="63" t="s">
        <v>13</v>
      </c>
      <c r="C2" s="63" t="s">
        <v>14</v>
      </c>
      <c r="D2" s="63" t="s">
        <v>15</v>
      </c>
      <c r="E2" s="14" t="s">
        <v>46</v>
      </c>
      <c r="F2" s="63" t="s">
        <v>17</v>
      </c>
      <c r="G2" s="63" t="s">
        <v>56</v>
      </c>
    </row>
    <row r="3" spans="1:10" ht="33" customHeight="1">
      <c r="A3" s="17" t="s">
        <v>19</v>
      </c>
      <c r="B3">
        <v>19275</v>
      </c>
      <c r="C3">
        <v>34900</v>
      </c>
      <c r="D3">
        <v>15625</v>
      </c>
      <c r="E3">
        <v>-4162.5</v>
      </c>
      <c r="F3">
        <v>58337.5</v>
      </c>
      <c r="G3">
        <v>0</v>
      </c>
    </row>
    <row r="4" spans="1:10" ht="33" customHeight="1">
      <c r="A4" s="17" t="s">
        <v>20</v>
      </c>
      <c r="B4">
        <v>1325</v>
      </c>
      <c r="C4">
        <v>4775</v>
      </c>
      <c r="D4">
        <v>3450</v>
      </c>
      <c r="E4">
        <v>-3850</v>
      </c>
      <c r="F4">
        <v>9950</v>
      </c>
      <c r="G4">
        <v>0</v>
      </c>
    </row>
    <row r="5" spans="1:10" ht="33" customHeight="1">
      <c r="A5" s="17" t="s">
        <v>21</v>
      </c>
      <c r="B5">
        <v>6.25</v>
      </c>
      <c r="C5">
        <v>17.75</v>
      </c>
      <c r="D5">
        <v>11.5</v>
      </c>
      <c r="E5">
        <v>-11</v>
      </c>
      <c r="F5">
        <v>35</v>
      </c>
      <c r="G5">
        <v>0</v>
      </c>
    </row>
    <row r="6" spans="1:10" ht="33" customHeight="1">
      <c r="A6" s="17" t="s">
        <v>30</v>
      </c>
      <c r="B6">
        <v>8</v>
      </c>
      <c r="C6">
        <v>12</v>
      </c>
      <c r="D6">
        <v>4</v>
      </c>
      <c r="E6">
        <v>2</v>
      </c>
      <c r="F6">
        <v>18</v>
      </c>
      <c r="G6">
        <v>2</v>
      </c>
    </row>
    <row r="7" spans="1:10" ht="33" customHeight="1">
      <c r="A7" s="64" t="s">
        <v>23</v>
      </c>
      <c r="B7">
        <v>437.5</v>
      </c>
      <c r="C7">
        <v>847.5</v>
      </c>
      <c r="D7">
        <v>410</v>
      </c>
      <c r="E7">
        <v>-177.5</v>
      </c>
      <c r="F7">
        <v>1462.5</v>
      </c>
      <c r="G7">
        <v>0</v>
      </c>
    </row>
    <row r="14" spans="1:10" ht="45.75">
      <c r="A14" s="20" t="s">
        <v>57</v>
      </c>
    </row>
  </sheetData>
  <mergeCells count="2">
    <mergeCell ref="A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2026-03-12T13:15:01Z</dcterms:created>
  <dcterms:modified xsi:type="dcterms:W3CDTF">2026-04-14T10:23:22Z</dcterms:modified>
  <cp:category/>
  <cp:contentStatus/>
</cp:coreProperties>
</file>